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668bd5dd9f026e1/Documents/"/>
    </mc:Choice>
  </mc:AlternateContent>
  <xr:revisionPtr revIDLastSave="2" documentId="14_{F0E91496-8C28-4EA7-B427-C70D937F539E}" xr6:coauthVersionLast="47" xr6:coauthVersionMax="47" xr10:uidLastSave="{B6B2674D-D7D0-4F6A-96F1-9ED2E1262C81}"/>
  <bookViews>
    <workbookView xWindow="-110" yWindow="-110" windowWidth="22620" windowHeight="13500" xr2:uid="{A882B2F0-FF53-45E8-9BFB-D3FF0A0F7B5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14" i="1" l="1"/>
  <c r="D14" i="1"/>
  <c r="E14" i="1"/>
  <c r="F14" i="1"/>
  <c r="G14" i="1"/>
  <c r="B14" i="1"/>
  <c r="B13" i="1"/>
  <c r="C13" i="1"/>
  <c r="D13" i="1"/>
  <c r="E13" i="1"/>
  <c r="F13" i="1"/>
  <c r="G13" i="1"/>
  <c r="F11" i="1"/>
  <c r="F12" i="1" s="1"/>
  <c r="C8" i="1"/>
  <c r="D8" i="1"/>
  <c r="E8" i="1"/>
  <c r="F8" i="1"/>
  <c r="G8" i="1"/>
  <c r="C3" i="1"/>
  <c r="C11" i="1" s="1"/>
  <c r="C12" i="1" s="1"/>
  <c r="G3" i="1"/>
  <c r="G11" i="1" s="1"/>
  <c r="G12" i="1" s="1"/>
  <c r="F3" i="1"/>
  <c r="E3" i="1"/>
  <c r="E11" i="1" s="1"/>
  <c r="E12" i="1" s="1"/>
  <c r="D3" i="1"/>
  <c r="D11" i="1" s="1"/>
  <c r="D12" i="1" s="1"/>
  <c r="B3" i="1"/>
  <c r="B11" i="1" s="1"/>
  <c r="B12" i="1" s="1"/>
</calcChain>
</file>

<file path=xl/sharedStrings.xml><?xml version="1.0" encoding="utf-8"?>
<sst xmlns="http://schemas.openxmlformats.org/spreadsheetml/2006/main" count="14" uniqueCount="14">
  <si>
    <t>Metric</t>
  </si>
  <si>
    <t>Customers Acquired</t>
  </si>
  <si>
    <t>Total Customers</t>
  </si>
  <si>
    <t>Marketing Spend (£)</t>
  </si>
  <si>
    <t>CAC (£)</t>
  </si>
  <si>
    <t>Churn Rate (%)</t>
  </si>
  <si>
    <t>Revenue (£)</t>
  </si>
  <si>
    <t>Revenue Growth (%)</t>
  </si>
  <si>
    <t>ARPU (£)</t>
  </si>
  <si>
    <t>Gross Margin (%)</t>
  </si>
  <si>
    <t>ARR (£)</t>
  </si>
  <si>
    <t>LTV (£)</t>
  </si>
  <si>
    <t>LTV:CAC</t>
  </si>
  <si>
    <r>
      <t>MRR (</t>
    </r>
    <r>
      <rPr>
        <b/>
        <sz val="9"/>
        <color theme="1"/>
        <rFont val="Aptos Narrow"/>
        <family val="2"/>
      </rPr>
      <t>£)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</si>
</sst>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[$£-809]* #,##0.00_-;\-[$£-809]* #,##0.00_-;_-[$£-809]* &quot;-&quot;??_-;_-@_-"/>
    <numFmt numFmtId="165" formatCode="0.0%"/>
    <numFmt numFmtId="166" formatCode="0.00\x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b/>
      <sz val="9"/>
      <color theme="1"/>
      <name val="Aptos Narrow"/>
      <family val="2"/>
    </font>
    <font>
      <b/>
      <sz val="10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3399FF"/>
        <bgColor indexed="64"/>
      </patternFill>
    </fill>
    <fill>
      <patternFill patternType="solid">
        <fgColor rgb="FFFFFFC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0">
    <xf numFmtId="0" fontId="0" fillId="0" borderId="0" xfId="0"/>
    <xf numFmtId="0" fontId="0" fillId="3" borderId="1" xfId="0" applyFill="1" applyBorder="1" applyAlignment="1">
      <alignment vertical="center" wrapText="1"/>
    </xf>
    <xf numFmtId="164" fontId="0" fillId="3" borderId="1" xfId="0" applyNumberFormat="1" applyFill="1" applyBorder="1" applyAlignment="1">
      <alignment vertical="center" wrapText="1"/>
    </xf>
    <xf numFmtId="165" fontId="0" fillId="3" borderId="1" xfId="1" applyNumberFormat="1" applyFont="1" applyFill="1" applyBorder="1" applyAlignment="1">
      <alignment vertical="center" wrapText="1"/>
    </xf>
    <xf numFmtId="9" fontId="0" fillId="3" borderId="1" xfId="1" applyFont="1" applyFill="1" applyBorder="1" applyAlignment="1">
      <alignment vertical="center" wrapText="1"/>
    </xf>
    <xf numFmtId="164" fontId="0" fillId="3" borderId="1" xfId="0" applyNumberFormat="1" applyFill="1" applyBorder="1"/>
    <xf numFmtId="166" fontId="0" fillId="3" borderId="1" xfId="0" applyNumberFormat="1" applyFill="1" applyBorder="1"/>
    <xf numFmtId="0" fontId="2" fillId="0" borderId="1" xfId="0" applyFont="1" applyBorder="1" applyAlignment="1">
      <alignment vertical="center" wrapText="1"/>
    </xf>
    <xf numFmtId="0" fontId="4" fillId="2" borderId="1" xfId="0" applyFont="1" applyFill="1" applyBorder="1" applyAlignment="1">
      <alignment horizontal="center" vertical="center" wrapText="1"/>
    </xf>
    <xf numFmtId="16" fontId="4" fillId="2" borderId="1" xfId="0" applyNumberFormat="1" applyFont="1" applyFill="1" applyBorder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FFFFCC"/>
      <color rgb="FF33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DCD6BA-16CB-4F81-97A8-8814AC65052F}">
  <dimension ref="A1:G14"/>
  <sheetViews>
    <sheetView tabSelected="1" zoomScale="126" workbookViewId="0">
      <selection activeCell="I4" sqref="I4"/>
    </sheetView>
  </sheetViews>
  <sheetFormatPr defaultRowHeight="14.5" x14ac:dyDescent="0.35"/>
  <cols>
    <col min="1" max="1" width="12.453125" customWidth="1"/>
    <col min="2" max="2" width="11.1796875" bestFit="1" customWidth="1"/>
    <col min="3" max="7" width="12.1796875" bestFit="1" customWidth="1"/>
  </cols>
  <sheetData>
    <row r="1" spans="1:7" x14ac:dyDescent="0.35">
      <c r="A1" s="8" t="s">
        <v>0</v>
      </c>
      <c r="B1" s="9">
        <v>46229</v>
      </c>
      <c r="C1" s="9">
        <v>46260</v>
      </c>
      <c r="D1" s="9">
        <v>46291</v>
      </c>
      <c r="E1" s="9">
        <v>46321</v>
      </c>
      <c r="F1" s="9">
        <v>46352</v>
      </c>
      <c r="G1" s="9">
        <v>46382</v>
      </c>
    </row>
    <row r="2" spans="1:7" ht="24" x14ac:dyDescent="0.35">
      <c r="A2" s="7" t="s">
        <v>1</v>
      </c>
      <c r="B2" s="1">
        <v>100</v>
      </c>
      <c r="C2" s="1">
        <v>200</v>
      </c>
      <c r="D2" s="1">
        <v>300</v>
      </c>
      <c r="E2" s="1">
        <v>400</v>
      </c>
      <c r="F2" s="1">
        <v>500</v>
      </c>
      <c r="G2" s="1">
        <v>600</v>
      </c>
    </row>
    <row r="3" spans="1:7" x14ac:dyDescent="0.35">
      <c r="A3" s="7" t="s">
        <v>2</v>
      </c>
      <c r="B3" s="1">
        <f>SUM(B2)</f>
        <v>100</v>
      </c>
      <c r="C3" s="1">
        <f>SUM(B2:C2)</f>
        <v>300</v>
      </c>
      <c r="D3" s="1">
        <f>SUM(B2:D2)</f>
        <v>600</v>
      </c>
      <c r="E3" s="1">
        <f>SUM(B2:E2)</f>
        <v>1000</v>
      </c>
      <c r="F3" s="1">
        <f>SUM(B2:F2)</f>
        <v>1500</v>
      </c>
      <c r="G3" s="1">
        <f>SUM(B2:G2)</f>
        <v>2100</v>
      </c>
    </row>
    <row r="4" spans="1:7" ht="24" x14ac:dyDescent="0.35">
      <c r="A4" s="7" t="s">
        <v>3</v>
      </c>
      <c r="B4" s="2">
        <v>1000</v>
      </c>
      <c r="C4" s="2">
        <v>1000</v>
      </c>
      <c r="D4" s="2">
        <v>1000</v>
      </c>
      <c r="E4" s="2">
        <v>2000</v>
      </c>
      <c r="F4" s="2">
        <v>2000</v>
      </c>
      <c r="G4" s="2">
        <v>2000</v>
      </c>
    </row>
    <row r="5" spans="1:7" ht="20.5" customHeight="1" x14ac:dyDescent="0.35">
      <c r="A5" s="7" t="s">
        <v>4</v>
      </c>
      <c r="B5" s="2">
        <v>38</v>
      </c>
      <c r="C5" s="2">
        <v>38</v>
      </c>
      <c r="D5" s="2">
        <v>38</v>
      </c>
      <c r="E5" s="2">
        <v>38</v>
      </c>
      <c r="F5" s="2">
        <v>38</v>
      </c>
      <c r="G5" s="2">
        <v>38</v>
      </c>
    </row>
    <row r="6" spans="1:7" x14ac:dyDescent="0.35">
      <c r="A6" s="7" t="s">
        <v>5</v>
      </c>
      <c r="B6" s="3">
        <v>3.5000000000000003E-2</v>
      </c>
      <c r="C6" s="3">
        <v>3.5000000000000003E-2</v>
      </c>
      <c r="D6" s="3">
        <v>3.5000000000000003E-2</v>
      </c>
      <c r="E6" s="3">
        <v>3.5000000000000003E-2</v>
      </c>
      <c r="F6" s="3">
        <v>3.5000000000000003E-2</v>
      </c>
      <c r="G6" s="3">
        <v>3.5000000000000003E-2</v>
      </c>
    </row>
    <row r="7" spans="1:7" x14ac:dyDescent="0.35">
      <c r="A7" s="7" t="s">
        <v>6</v>
      </c>
      <c r="B7" s="2">
        <v>390</v>
      </c>
      <c r="C7" s="2">
        <v>780</v>
      </c>
      <c r="D7" s="2">
        <v>1170</v>
      </c>
      <c r="E7" s="2">
        <v>3070</v>
      </c>
      <c r="F7" s="2">
        <v>4422</v>
      </c>
      <c r="G7" s="2">
        <v>6870</v>
      </c>
    </row>
    <row r="8" spans="1:7" ht="24" x14ac:dyDescent="0.35">
      <c r="A8" s="7" t="s">
        <v>7</v>
      </c>
      <c r="B8" s="4">
        <v>0</v>
      </c>
      <c r="C8" s="4">
        <f>(C7-B7)/B7</f>
        <v>1</v>
      </c>
      <c r="D8" s="4">
        <f>(D7-C7)/C7</f>
        <v>0.5</v>
      </c>
      <c r="E8" s="4">
        <f t="shared" ref="E8:G8" si="0">(E7-D7)/D7</f>
        <v>1.6239316239316239</v>
      </c>
      <c r="F8" s="4">
        <f t="shared" si="0"/>
        <v>0.44039087947882738</v>
      </c>
      <c r="G8" s="4">
        <f t="shared" si="0"/>
        <v>0.55359565807327005</v>
      </c>
    </row>
    <row r="9" spans="1:7" x14ac:dyDescent="0.35">
      <c r="A9" s="7" t="s">
        <v>8</v>
      </c>
      <c r="B9" s="2">
        <v>31.75</v>
      </c>
      <c r="C9" s="2">
        <v>31.75</v>
      </c>
      <c r="D9" s="2">
        <v>31.75</v>
      </c>
      <c r="E9" s="2">
        <v>31.75</v>
      </c>
      <c r="F9" s="2">
        <v>31.75</v>
      </c>
      <c r="G9" s="2">
        <v>31.75</v>
      </c>
    </row>
    <row r="10" spans="1:7" x14ac:dyDescent="0.35">
      <c r="A10" s="7" t="s">
        <v>9</v>
      </c>
      <c r="B10" s="4">
        <v>0.88</v>
      </c>
      <c r="C10" s="4">
        <v>0.88</v>
      </c>
      <c r="D10" s="4">
        <v>0.88</v>
      </c>
      <c r="E10" s="4">
        <v>0.88</v>
      </c>
      <c r="F10" s="4">
        <v>0.88</v>
      </c>
      <c r="G10" s="4">
        <v>0.88</v>
      </c>
    </row>
    <row r="11" spans="1:7" x14ac:dyDescent="0.35">
      <c r="A11" s="7" t="s">
        <v>13</v>
      </c>
      <c r="B11" s="5">
        <f>B3*B9</f>
        <v>3175</v>
      </c>
      <c r="C11" s="5">
        <f t="shared" ref="C11:G11" si="1">C3*C9</f>
        <v>9525</v>
      </c>
      <c r="D11" s="5">
        <f t="shared" si="1"/>
        <v>19050</v>
      </c>
      <c r="E11" s="5">
        <f t="shared" si="1"/>
        <v>31750</v>
      </c>
      <c r="F11" s="5">
        <f t="shared" si="1"/>
        <v>47625</v>
      </c>
      <c r="G11" s="5">
        <f t="shared" si="1"/>
        <v>66675</v>
      </c>
    </row>
    <row r="12" spans="1:7" x14ac:dyDescent="0.35">
      <c r="A12" s="7" t="s">
        <v>10</v>
      </c>
      <c r="B12" s="5">
        <f>B11*12</f>
        <v>38100</v>
      </c>
      <c r="C12" s="5">
        <f t="shared" ref="C12:G12" si="2">C11*12</f>
        <v>114300</v>
      </c>
      <c r="D12" s="5">
        <f t="shared" si="2"/>
        <v>228600</v>
      </c>
      <c r="E12" s="5">
        <f t="shared" si="2"/>
        <v>381000</v>
      </c>
      <c r="F12" s="5">
        <f t="shared" si="2"/>
        <v>571500</v>
      </c>
      <c r="G12" s="5">
        <f t="shared" si="2"/>
        <v>800100</v>
      </c>
    </row>
    <row r="13" spans="1:7" x14ac:dyDescent="0.35">
      <c r="A13" s="7" t="s">
        <v>11</v>
      </c>
      <c r="B13" s="5">
        <f>B9/B6</f>
        <v>907.14285714285711</v>
      </c>
      <c r="C13" s="5">
        <f t="shared" ref="C13:G13" si="3">C9/C6</f>
        <v>907.14285714285711</v>
      </c>
      <c r="D13" s="5">
        <f t="shared" si="3"/>
        <v>907.14285714285711</v>
      </c>
      <c r="E13" s="5">
        <f t="shared" si="3"/>
        <v>907.14285714285711</v>
      </c>
      <c r="F13" s="5">
        <f t="shared" si="3"/>
        <v>907.14285714285711</v>
      </c>
      <c r="G13" s="5">
        <f t="shared" si="3"/>
        <v>907.14285714285711</v>
      </c>
    </row>
    <row r="14" spans="1:7" x14ac:dyDescent="0.35">
      <c r="A14" s="7" t="s">
        <v>12</v>
      </c>
      <c r="B14" s="6">
        <f>B13/B5</f>
        <v>23.872180451127818</v>
      </c>
      <c r="C14" s="6">
        <f t="shared" ref="C14:G14" si="4">C13/C5</f>
        <v>23.872180451127818</v>
      </c>
      <c r="D14" s="6">
        <f t="shared" si="4"/>
        <v>23.872180451127818</v>
      </c>
      <c r="E14" s="6">
        <f t="shared" si="4"/>
        <v>23.872180451127818</v>
      </c>
      <c r="F14" s="6">
        <f t="shared" si="4"/>
        <v>23.872180451127818</v>
      </c>
      <c r="G14" s="6">
        <f t="shared" si="4"/>
        <v>23.872180451127818</v>
      </c>
    </row>
  </sheetData>
  <pageMargins left="0.7" right="0.7" top="0.75" bottom="0.75" header="0.3" footer="0.3"/>
  <ignoredErrors>
    <ignoredError sqref="C3:F3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 Fonseca</dc:creator>
  <cp:lastModifiedBy>Joe Fonseca</cp:lastModifiedBy>
  <dcterms:created xsi:type="dcterms:W3CDTF">2026-06-18T08:52:49Z</dcterms:created>
  <dcterms:modified xsi:type="dcterms:W3CDTF">2026-06-18T10:29:10Z</dcterms:modified>
</cp:coreProperties>
</file>