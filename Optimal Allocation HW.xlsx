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668BD5DD9F026E1/Documents/"/>
    </mc:Choice>
  </mc:AlternateContent>
  <xr:revisionPtr revIDLastSave="0" documentId="14_{B2AB18E6-3098-492E-88B7-23054B5F2662}" xr6:coauthVersionLast="47" xr6:coauthVersionMax="47" xr10:uidLastSave="{00000000-0000-0000-0000-000000000000}"/>
  <bookViews>
    <workbookView xWindow="-110" yWindow="-110" windowWidth="22620" windowHeight="13500" xr2:uid="{66DCF9E4-AFB8-4875-B5F2-05C214C26057}"/>
  </bookViews>
  <sheets>
    <sheet name="Sheet1" sheetId="3" r:id="rId1"/>
  </sheets>
  <definedNames>
    <definedName name="solver_adj" localSheetId="0" hidden="1">Sheet1!$U$6</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lhs1" localSheetId="0" hidden="1">Sheet1!$U$6</definedName>
    <definedName name="solver_lhs2" localSheetId="0" hidden="1">Sheet1!$U$6</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2</definedName>
    <definedName name="solver_nwt" localSheetId="0" hidden="1">1</definedName>
    <definedName name="solver_opt" localSheetId="0" hidden="1">Sheet1!$T$6</definedName>
    <definedName name="solver_pre" localSheetId="0" hidden="1">0.000001</definedName>
    <definedName name="solver_rbv" localSheetId="0" hidden="1">2</definedName>
    <definedName name="solver_rel1" localSheetId="0" hidden="1">1</definedName>
    <definedName name="solver_rel2" localSheetId="0" hidden="1">3</definedName>
    <definedName name="solver_rhs1" localSheetId="0" hidden="1">1</definedName>
    <definedName name="solver_rhs2" localSheetId="0" hidden="1">0</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 i="3"/>
  <c r="P2" i="3"/>
  <c r="O3" i="3"/>
  <c r="O4" i="3"/>
  <c r="P4" i="3" s="1"/>
  <c r="O5" i="3"/>
  <c r="P5" i="3" s="1"/>
  <c r="O6" i="3"/>
  <c r="P6" i="3" s="1"/>
  <c r="O7" i="3"/>
  <c r="P7" i="3" s="1"/>
  <c r="O8" i="3"/>
  <c r="P8" i="3" s="1"/>
  <c r="O9" i="3"/>
  <c r="P9" i="3" s="1"/>
  <c r="O10" i="3"/>
  <c r="P10" i="3" s="1"/>
  <c r="O11" i="3"/>
  <c r="P11" i="3" s="1"/>
  <c r="O12" i="3"/>
  <c r="P12" i="3" s="1"/>
  <c r="O13" i="3"/>
  <c r="P13" i="3" s="1"/>
  <c r="O14" i="3"/>
  <c r="O15" i="3"/>
  <c r="O16" i="3"/>
  <c r="O17" i="3"/>
  <c r="O18" i="3"/>
  <c r="O19" i="3"/>
  <c r="O20" i="3"/>
  <c r="O21" i="3"/>
  <c r="O22" i="3"/>
  <c r="O2" i="3"/>
  <c r="T4" i="3"/>
  <c r="V5" i="3"/>
  <c r="T5" i="3" s="1"/>
  <c r="V4" i="3"/>
  <c r="V6" i="3"/>
  <c r="T6" i="3" s="1"/>
  <c r="N2" i="3"/>
  <c r="P3" i="3"/>
  <c r="P14" i="3"/>
  <c r="P15" i="3"/>
  <c r="P16" i="3"/>
  <c r="P17" i="3"/>
  <c r="P18" i="3"/>
  <c r="P19" i="3"/>
  <c r="P20" i="3"/>
  <c r="P21" i="3"/>
  <c r="P22" i="3"/>
  <c r="N3" i="3"/>
  <c r="N4" i="3"/>
  <c r="N5" i="3"/>
  <c r="N6" i="3"/>
  <c r="N7" i="3"/>
  <c r="N8" i="3"/>
  <c r="N9" i="3"/>
  <c r="N10" i="3"/>
  <c r="N11" i="3"/>
  <c r="N12" i="3"/>
  <c r="N13" i="3"/>
  <c r="N14" i="3"/>
  <c r="N15" i="3"/>
  <c r="N16" i="3"/>
  <c r="N17" i="3"/>
  <c r="N18" i="3"/>
  <c r="N19" i="3"/>
  <c r="N20" i="3"/>
  <c r="N21" i="3"/>
  <c r="N22" i="3"/>
  <c r="M3" i="3"/>
  <c r="M4" i="3"/>
  <c r="M5" i="3"/>
  <c r="M6" i="3"/>
  <c r="M7" i="3"/>
  <c r="M8" i="3"/>
  <c r="M9" i="3"/>
  <c r="M10" i="3"/>
  <c r="M11" i="3"/>
  <c r="M12" i="3"/>
  <c r="M13" i="3"/>
  <c r="M14" i="3"/>
  <c r="M15" i="3"/>
  <c r="M16" i="3"/>
  <c r="M17" i="3"/>
  <c r="M18" i="3"/>
  <c r="M19" i="3"/>
  <c r="M20" i="3"/>
  <c r="M21" i="3"/>
  <c r="M22" i="3"/>
  <c r="M2" i="3"/>
  <c r="J2" i="3"/>
  <c r="H2" i="3"/>
  <c r="I2" i="3"/>
  <c r="G2" i="3"/>
  <c r="F2" i="3"/>
  <c r="D93" i="3"/>
  <c r="D2" i="3"/>
  <c r="D9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alcChain>
</file>

<file path=xl/sharedStrings.xml><?xml version="1.0" encoding="utf-8"?>
<sst xmlns="http://schemas.openxmlformats.org/spreadsheetml/2006/main" count="70" uniqueCount="64">
  <si>
    <t>Date</t>
  </si>
  <si>
    <t xml:space="preserve">Adj Close (JPM) </t>
  </si>
  <si>
    <t xml:space="preserve">Adj Close (NVDA) </t>
  </si>
  <si>
    <t>JPM Monthly Return</t>
  </si>
  <si>
    <t>NVDA Monthly Return</t>
  </si>
  <si>
    <t>JPM Average Monthly Return</t>
  </si>
  <si>
    <t>NVDA Average Monthly Return</t>
  </si>
  <si>
    <t>JPM Monthly Volatility</t>
  </si>
  <si>
    <t>NVDA Monthly Volatility</t>
  </si>
  <si>
    <t>Correlation</t>
  </si>
  <si>
    <t>JPM Weight</t>
  </si>
  <si>
    <t>NVDA Weight</t>
  </si>
  <si>
    <t>Expected Portfolio Return</t>
  </si>
  <si>
    <t>Portfolio Variance</t>
  </si>
  <si>
    <t>Portfolio Volatility</t>
  </si>
  <si>
    <t>Sharpe Ratio</t>
  </si>
  <si>
    <t>Maximum Sharpe Ratio</t>
  </si>
  <si>
    <t>Maximum Return</t>
  </si>
  <si>
    <t>Minimum Variance</t>
  </si>
  <si>
    <t>(a) Maximum Return: JPM 0% / NVDA 100%</t>
  </si>
  <si>
    <r>
      <t xml:space="preserve">I would allocate </t>
    </r>
    <r>
      <rPr>
        <b/>
        <sz val="11"/>
        <color theme="1"/>
        <rFont val="Aptos Narrow"/>
        <family val="2"/>
        <scheme val="minor"/>
      </rPr>
      <t>100% to NVDA</t>
    </r>
    <r>
      <rPr>
        <sz val="11"/>
        <color theme="1"/>
        <rFont val="Aptos Narrow"/>
        <family val="2"/>
        <scheme val="minor"/>
      </rPr>
      <t xml:space="preserve"> and </t>
    </r>
    <r>
      <rPr>
        <b/>
        <sz val="11"/>
        <color theme="1"/>
        <rFont val="Aptos Narrow"/>
        <family val="2"/>
        <scheme val="minor"/>
      </rPr>
      <t>0% to JPM</t>
    </r>
    <r>
      <rPr>
        <sz val="11"/>
        <color theme="1"/>
        <rFont val="Aptos Narrow"/>
        <family val="2"/>
        <scheme val="minor"/>
      </rPr>
      <t xml:space="preserve"> if the sole objective is maximizing expected return.</t>
    </r>
  </si>
  <si>
    <t>My assumption is that NVDA had the higher average monthly return over the January 2019–present period.</t>
  </si>
  <si>
    <t>This ignores the substantially greater volatility and concentration risk associated with holding only NVDA.</t>
  </si>
  <si>
    <t>(b) Minimum Variance: JPM 85% / NVDA 15%</t>
  </si>
  <si>
    <r>
      <t xml:space="preserve">I would estimate approximately </t>
    </r>
    <r>
      <rPr>
        <b/>
        <sz val="11"/>
        <color theme="1"/>
        <rFont val="Aptos Narrow"/>
        <family val="2"/>
        <scheme val="minor"/>
      </rPr>
      <t>85% JPM and 15% NVDA</t>
    </r>
    <r>
      <rPr>
        <sz val="11"/>
        <color theme="1"/>
        <rFont val="Aptos Narrow"/>
        <family val="2"/>
        <scheme val="minor"/>
      </rPr>
      <t>.</t>
    </r>
  </si>
  <si>
    <t>JPM would receive the larger weight because I would expect it to have substantially lower monthly volatility than NVDA.</t>
  </si>
  <si>
    <t>A smaller NVDA position could still provide diversification benefits if the two stocks are not perfectly correlated.</t>
  </si>
  <si>
    <t>The precise minimum-variance allocation depends heavily on the historical standard deviations and correlation.</t>
  </si>
  <si>
    <t>(c) Maximum Sharpe Ratio: JPM 30% / NVDA 70%</t>
  </si>
  <si>
    <r>
      <t xml:space="preserve">I would estimate approximately </t>
    </r>
    <r>
      <rPr>
        <b/>
        <sz val="11"/>
        <color theme="1"/>
        <rFont val="Aptos Narrow"/>
        <family val="2"/>
        <scheme val="minor"/>
      </rPr>
      <t>30% JPM and 70% NVDA</t>
    </r>
    <r>
      <rPr>
        <sz val="11"/>
        <color theme="1"/>
        <rFont val="Aptos Narrow"/>
        <family val="2"/>
        <scheme val="minor"/>
      </rPr>
      <t>.</t>
    </r>
  </si>
  <si>
    <t>NVDA's higher expected return would justify a relatively large allocation, while JPM could reduce overall portfolio volatility through diversification.</t>
  </si>
  <si>
    <t>This allocation attempts to maximize excess return per unit of portfolio risk rather than simply maximizing return or minimizing volatility.</t>
  </si>
  <si>
    <t>I assume a positive monthly risk-free rate and that historical returns, volatility, and correlation are reasonable estimates for the portfolio calculation.</t>
  </si>
  <si>
    <t>Additional information needed for precise calculations</t>
  </si>
  <si>
    <t>Monthly adjusted-close prices for JPM and NVDA from January 2019 through the most recent month.</t>
  </si>
  <si>
    <t>Exact arithmetic average monthly returns for both stocks.</t>
  </si>
  <si>
    <t>Exact monthly standard deviations for both stocks.</t>
  </si>
  <si>
    <t>The correlation or covariance between JPM and NVDA monthly returns.</t>
  </si>
  <si>
    <t>The monthly risk-free rate used for the Sharpe ratio.</t>
  </si>
  <si>
    <t>Confirmation that short selling is prohibited and weights must remain between 0% and 100%.</t>
  </si>
  <si>
    <t>Risks</t>
  </si>
  <si>
    <r>
      <t>Diversification:</t>
    </r>
    <r>
      <rPr>
        <sz val="11"/>
        <color theme="1"/>
        <rFont val="Aptos Narrow"/>
        <family val="2"/>
        <scheme val="minor"/>
      </rPr>
      <t xml:space="preserve"> A portfolio containing only two individual stocks remains concentrated, even if the stocks operate in different industries.</t>
    </r>
  </si>
  <si>
    <r>
      <t>Correlation:</t>
    </r>
    <r>
      <rPr>
        <sz val="11"/>
        <color theme="1"/>
        <rFont val="Aptos Narrow"/>
        <family val="2"/>
        <scheme val="minor"/>
      </rPr>
      <t xml:space="preserve"> Diversification benefits depend on correlation. If JPM and NVDA become more positively correlated, particularly during market stress, the portfolio may provide less risk reduction than historical data suggests.</t>
    </r>
  </si>
  <si>
    <r>
      <t>Regime shifts:</t>
    </r>
    <r>
      <rPr>
        <sz val="11"/>
        <color theme="1"/>
        <rFont val="Aptos Narrow"/>
        <family val="2"/>
        <scheme val="minor"/>
      </rPr>
      <t xml:space="preserve"> Historical data from 2019 onward may not represent future market conditions. Changes in interest rates, economic growth, AI-related valuations, banking conditions, or market sentiment could materially alter returns, volatility, and correlation.</t>
    </r>
  </si>
  <si>
    <r>
      <t>Estimation risk:</t>
    </r>
    <r>
      <rPr>
        <sz val="11"/>
        <color theme="1"/>
        <rFont val="Aptos Narrow"/>
        <family val="2"/>
        <scheme val="minor"/>
      </rPr>
      <t xml:space="preserve"> Maximum-return and maximum-Sharpe portfolios can be particularly sensitive to estimates of expected returns, so relatively small changes in the historical sample can produce different optimal weights.</t>
    </r>
  </si>
  <si>
    <t>AI-Generated Portfolio Recommendations</t>
  </si>
  <si>
    <t>Optimization</t>
  </si>
  <si>
    <t>Your Optimal Weights</t>
  </si>
  <si>
    <t>AI Suggested Weights</t>
  </si>
  <si>
    <t>Same/Different?</t>
  </si>
  <si>
    <t>Likely Reason Why</t>
  </si>
  <si>
    <t>0% JPM / 100% NVDA</t>
  </si>
  <si>
    <t>Same</t>
  </si>
  <si>
    <t>Both identify NVDA as having the higher expected return</t>
  </si>
  <si>
    <t>86% JPM / 14% NVDA</t>
  </si>
  <si>
    <t>85% JPM / 15% NVDA</t>
  </si>
  <si>
    <t>Very similar</t>
  </si>
  <si>
    <t>AI estimated without the exact dataset</t>
  </si>
  <si>
    <t>Maximum Sharpe</t>
  </si>
  <si>
    <t>32% JPM / 68% NVDA</t>
  </si>
  <si>
    <t>30% JPM / 70% NVDA</t>
  </si>
  <si>
    <t>AI estimated weights rather than calculating with exact inputs</t>
  </si>
  <si>
    <t>Then write a short paragraph explaining the biggest reason for differences:</t>
  </si>
  <si>
    <t>For the most part, the weights between what I did in Solver and what AI came up with were similar. The thing that makes them slightly different from one another is that I got my numbered weights using the exact numbers pulled from the tables from earlier, whereas AI did more of an estimated number approach of the weights. But these differences were very small, they were within a couple points of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</si>
</sst>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
    <numFmt numFmtId="167" formatCode="0.000000"/>
  </numFmts>
  <fonts count="7" x14ac:knownFonts="1">
    <font>
      <sz val="11"/>
      <color theme="1"/>
      <name val="Aptos Narrow"/>
      <family val="2"/>
      <scheme val="minor"/>
    </font>
    <font>
      <sz val="6"/>
      <color rgb="FFE3E3E3"/>
      <name val="Arial"/>
      <family val="2"/>
    </font>
    <font>
      <sz val="7"/>
      <color rgb="FFE3E3E3"/>
      <name val="Arial"/>
      <family val="2"/>
    </font>
    <font>
      <sz val="11"/>
      <color theme="1"/>
      <name val="Aptos Narrow"/>
      <family val="2"/>
      <scheme val="minor"/>
    </font>
    <font>
      <b/>
      <sz val="11"/>
      <color theme="1"/>
      <name val="Aptos Narrow"/>
      <family val="2"/>
      <scheme val="minor"/>
    </font>
    <font>
      <sz val="7"/>
      <color rgb="FFFF0000"/>
      <name val="Arial"/>
      <family val="2"/>
    </font>
    <font>
      <b/>
      <sz val="8"/>
      <color rgb="FF273540"/>
      <name val="Arial"/>
      <family val="2"/>
    </font>
  </fonts>
  <fills count="5">
    <fill>
      <patternFill patternType="none"/>
    </fill>
    <fill>
      <patternFill patternType="gray125"/>
    </fill>
    <fill>
      <patternFill patternType="solid">
        <fgColor rgb="FF14181C"/>
        <bgColor indexed="64"/>
      </patternFill>
    </fill>
    <fill>
      <patternFill patternType="solid">
        <fgColor rgb="FF00000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9" fontId="3" fillId="0" borderId="0" applyFont="0" applyFill="0" applyBorder="0" applyAlignment="0" applyProtection="0"/>
  </cellStyleXfs>
  <cellXfs count="32">
    <xf numFmtId="0" fontId="0" fillId="0" borderId="0" xfId="0"/>
    <xf numFmtId="0" fontId="1" fillId="2" borderId="0" xfId="0" applyFont="1" applyFill="1" applyAlignment="1">
      <alignment horizontal="left" vertical="center"/>
    </xf>
    <xf numFmtId="0" fontId="1" fillId="2" borderId="0" xfId="0" applyFont="1" applyFill="1" applyAlignment="1">
      <alignment horizontal="right" vertical="center"/>
    </xf>
    <xf numFmtId="15" fontId="2" fillId="3" borderId="0" xfId="0" applyNumberFormat="1" applyFont="1" applyFill="1" applyAlignment="1">
      <alignment horizontal="left" vertical="center"/>
    </xf>
    <xf numFmtId="0" fontId="2" fillId="3" borderId="0" xfId="0" applyFont="1" applyFill="1" applyAlignment="1">
      <alignment horizontal="right" vertical="center"/>
    </xf>
    <xf numFmtId="15" fontId="2" fillId="2" borderId="0" xfId="0" applyNumberFormat="1" applyFont="1" applyFill="1" applyAlignment="1">
      <alignment horizontal="left" vertical="center"/>
    </xf>
    <xf numFmtId="0" fontId="2" fillId="2" borderId="0" xfId="0" applyFont="1" applyFill="1" applyAlignment="1">
      <alignment horizontal="right" vertical="center"/>
    </xf>
    <xf numFmtId="0" fontId="5" fillId="0" borderId="0" xfId="0" applyFont="1" applyAlignment="1">
      <alignment horizontal="right" vertical="center"/>
    </xf>
    <xf numFmtId="10" fontId="0" fillId="0" borderId="0" xfId="1" applyNumberFormat="1" applyFont="1"/>
    <xf numFmtId="10" fontId="0" fillId="0" borderId="0" xfId="0" applyNumberFormat="1"/>
    <xf numFmtId="165" fontId="0" fillId="0" borderId="0" xfId="1" applyNumberFormat="1" applyFont="1"/>
    <xf numFmtId="9" fontId="0" fillId="0" borderId="0" xfId="0" applyNumberFormat="1"/>
    <xf numFmtId="0" fontId="4" fillId="0" borderId="1" xfId="0" applyFont="1" applyBorder="1" applyAlignment="1">
      <alignment horizontal="right" vertical="center" wrapText="1"/>
    </xf>
    <xf numFmtId="10" fontId="4" fillId="0" borderId="1" xfId="1" applyNumberFormat="1" applyFont="1" applyBorder="1" applyAlignment="1">
      <alignment horizontal="right" vertical="center" wrapText="1"/>
    </xf>
    <xf numFmtId="9" fontId="0" fillId="0" borderId="1" xfId="0" applyNumberFormat="1" applyBorder="1"/>
    <xf numFmtId="10" fontId="0" fillId="0" borderId="1" xfId="0" applyNumberFormat="1" applyBorder="1"/>
    <xf numFmtId="0" fontId="0" fillId="0" borderId="1" xfId="0" applyBorder="1"/>
    <xf numFmtId="10" fontId="0" fillId="0" borderId="1" xfId="1" applyNumberFormat="1" applyFont="1" applyBorder="1"/>
    <xf numFmtId="164" fontId="0" fillId="0" borderId="1" xfId="0" applyNumberFormat="1" applyBorder="1"/>
    <xf numFmtId="0" fontId="4" fillId="0" borderId="2" xfId="0" applyFont="1" applyBorder="1" applyAlignment="1">
      <alignment horizontal="right" vertical="center" wrapText="1"/>
    </xf>
    <xf numFmtId="165" fontId="0" fillId="0" borderId="0" xfId="0" applyNumberFormat="1"/>
    <xf numFmtId="9" fontId="0" fillId="0" borderId="0" xfId="1" applyFont="1"/>
    <xf numFmtId="166" fontId="0" fillId="0" borderId="0" xfId="0" applyNumberFormat="1"/>
    <xf numFmtId="167" fontId="0" fillId="0" borderId="0" xfId="0" applyNumberFormat="1"/>
    <xf numFmtId="0" fontId="4" fillId="0" borderId="0" xfId="0" applyFont="1"/>
    <xf numFmtId="0" fontId="0" fillId="0" borderId="0" xfId="0" applyAlignment="1">
      <alignment horizontal="left" vertical="center" indent="1"/>
    </xf>
    <xf numFmtId="0" fontId="4" fillId="0" borderId="0" xfId="0" applyFont="1" applyAlignment="1">
      <alignment horizontal="left" vertical="center" indent="1"/>
    </xf>
    <xf numFmtId="0" fontId="4" fillId="4" borderId="0" xfId="0" applyFont="1" applyFill="1"/>
    <xf numFmtId="0" fontId="0" fillId="4" borderId="0" xfId="0" applyFill="1"/>
    <xf numFmtId="0" fontId="4" fillId="0" borderId="0" xfId="0" applyFont="1" applyAlignment="1">
      <alignment horizontal="center" vertical="center" wrapText="1"/>
    </xf>
    <xf numFmtId="0" fontId="0" fillId="0" borderId="0" xfId="0" applyAlignment="1">
      <alignment vertical="center" wrapText="1"/>
    </xf>
    <xf numFmtId="0" fontId="6"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5D9E-C7A2-42D8-8A5F-A0C2B246C1E0}">
  <dimension ref="A1:W96"/>
  <sheetViews>
    <sheetView tabSelected="1" topLeftCell="M1" zoomScale="106" zoomScaleNormal="96" workbookViewId="0">
      <selection activeCell="S11" sqref="S11"/>
    </sheetView>
  </sheetViews>
  <sheetFormatPr defaultRowHeight="14.5" x14ac:dyDescent="0.35"/>
  <cols>
    <col min="3" max="3" width="9.6328125" bestFit="1" customWidth="1"/>
    <col min="4" max="4" width="16.54296875" style="8" bestFit="1" customWidth="1"/>
    <col min="5" max="5" width="18.1796875" style="8" bestFit="1" customWidth="1"/>
    <col min="6" max="6" width="23.54296875" style="8" bestFit="1" customWidth="1"/>
    <col min="7" max="7" width="25.1796875" bestFit="1" customWidth="1"/>
    <col min="8" max="8" width="18.26953125" bestFit="1" customWidth="1"/>
    <col min="9" max="9" width="19.81640625" bestFit="1" customWidth="1"/>
    <col min="10" max="10" width="9.90625" bestFit="1" customWidth="1"/>
    <col min="14" max="14" width="11.1796875" bestFit="1" customWidth="1"/>
    <col min="15" max="15" width="28.26953125" bestFit="1" customWidth="1"/>
    <col min="16" max="16" width="8.7265625" style="8"/>
    <col min="17" max="17" width="20.7265625" bestFit="1" customWidth="1"/>
    <col min="19" max="19" width="21.453125" bestFit="1" customWidth="1"/>
    <col min="20" max="20" width="20.7265625" bestFit="1" customWidth="1"/>
    <col min="21" max="21" width="10.1796875" bestFit="1" customWidth="1"/>
    <col min="22" max="22" width="11.7265625" bestFit="1" customWidth="1"/>
  </cols>
  <sheetData>
    <row r="1" spans="1:22" ht="43.5" x14ac:dyDescent="0.35">
      <c r="A1" s="1" t="s">
        <v>0</v>
      </c>
      <c r="B1" s="2" t="s">
        <v>1</v>
      </c>
      <c r="C1" s="2" t="s">
        <v>2</v>
      </c>
      <c r="D1" s="8" t="s">
        <v>3</v>
      </c>
      <c r="E1" s="8" t="s">
        <v>4</v>
      </c>
      <c r="F1" s="8" t="s">
        <v>5</v>
      </c>
      <c r="G1" t="s">
        <v>6</v>
      </c>
      <c r="H1" s="8" t="s">
        <v>7</v>
      </c>
      <c r="I1" s="8" t="s">
        <v>8</v>
      </c>
      <c r="J1" s="8" t="s">
        <v>9</v>
      </c>
      <c r="L1" s="12" t="s">
        <v>10</v>
      </c>
      <c r="M1" s="12" t="s">
        <v>11</v>
      </c>
      <c r="N1" s="12" t="s">
        <v>12</v>
      </c>
      <c r="O1" s="12" t="s">
        <v>13</v>
      </c>
      <c r="P1" s="13" t="s">
        <v>14</v>
      </c>
      <c r="Q1" s="12" t="s">
        <v>15</v>
      </c>
      <c r="S1" s="19"/>
    </row>
    <row r="2" spans="1:22" x14ac:dyDescent="0.35">
      <c r="A2" s="3">
        <v>46286</v>
      </c>
      <c r="B2" s="4">
        <v>352.04</v>
      </c>
      <c r="C2" s="4">
        <v>227.38</v>
      </c>
      <c r="D2" s="8">
        <f>(B3-B4)/B4</f>
        <v>-1.7836076624908617E-2</v>
      </c>
      <c r="E2" s="8">
        <f>(C3-C4)/C4</f>
        <v>7.8900829819072652E-3</v>
      </c>
      <c r="F2" s="8">
        <f>AVERAGE(D2:D93)</f>
        <v>1.818421482178469E-2</v>
      </c>
      <c r="G2" s="9">
        <f>AVERAGE(E2:E93)</f>
        <v>5.4369893607263832E-2</v>
      </c>
      <c r="H2" s="8">
        <f>_xlfn.STDEV.S(D2:D93)</f>
        <v>7.2977162490088315E-2</v>
      </c>
      <c r="I2" s="8">
        <f>_xlfn.STDEV.S(E2:E93)</f>
        <v>0.13172757084180195</v>
      </c>
      <c r="J2" s="10">
        <f>CORREL(D2:D93,E2:E93)</f>
        <v>0.31836245731924773</v>
      </c>
      <c r="L2" s="14">
        <v>0</v>
      </c>
      <c r="M2" s="14">
        <f>1-L2</f>
        <v>1</v>
      </c>
      <c r="N2" s="15">
        <f>(L2*$F$2)+(M2*$G$2)</f>
        <v>5.4369893607263832E-2</v>
      </c>
      <c r="O2" s="16">
        <f>(L2^2*$H$2^2)+(M2^2*$I$2^2)+(2*L2*M2*$H$2*$I$2*$J$2)</f>
        <v>1.7352152919881951E-2</v>
      </c>
      <c r="P2" s="17">
        <f>SQRT(O2)</f>
        <v>0.13172757084180195</v>
      </c>
      <c r="Q2" s="18">
        <f>(N2-0.3%)/P2</f>
        <v>0.38997070453046184</v>
      </c>
      <c r="T2" s="11"/>
    </row>
    <row r="3" spans="1:22" x14ac:dyDescent="0.35">
      <c r="A3" s="5">
        <v>46266</v>
      </c>
      <c r="B3" s="6">
        <v>349.67</v>
      </c>
      <c r="C3" s="4">
        <v>222.27</v>
      </c>
      <c r="D3" s="8">
        <f t="shared" ref="D3:D66" si="0">(B4-B5)/B5</f>
        <v>1.2024218994286254E-2</v>
      </c>
      <c r="E3" s="8">
        <f t="shared" ref="E3:E66" si="1">(C4-C5)/C5</f>
        <v>9.9735700393956017E-2</v>
      </c>
      <c r="L3" s="14">
        <v>0.05</v>
      </c>
      <c r="M3" s="14">
        <f t="shared" ref="M3:M22" si="2">1-L3</f>
        <v>0.95</v>
      </c>
      <c r="N3" s="15">
        <f>(L3*$F$2)+(M3*$G$2)</f>
        <v>5.2560609667989873E-2</v>
      </c>
      <c r="O3" s="16">
        <f t="shared" ref="O3:O22" si="3">(L3^2*$H$2^2)+(M3^2*$I$2^2)+(2*L3*M3*$H$2*$I$2*$J$2)</f>
        <v>1.5964375070273183E-2</v>
      </c>
      <c r="P3" s="17">
        <f>SQRT(O3)</f>
        <v>0.12635020803415078</v>
      </c>
      <c r="Q3" s="18">
        <f t="shared" ref="Q3:Q22" si="4">(N3-0.3%)/P3</f>
        <v>0.39224794671168484</v>
      </c>
      <c r="T3" s="11"/>
      <c r="U3" s="24" t="s">
        <v>10</v>
      </c>
      <c r="V3" s="24" t="s">
        <v>11</v>
      </c>
    </row>
    <row r="4" spans="1:22" x14ac:dyDescent="0.35">
      <c r="A4" s="3">
        <v>46235</v>
      </c>
      <c r="B4" s="4">
        <v>356.02</v>
      </c>
      <c r="C4" s="6">
        <v>220.53</v>
      </c>
      <c r="D4" s="8">
        <f t="shared" si="0"/>
        <v>7.9574050205609786E-2</v>
      </c>
      <c r="E4" s="8">
        <f t="shared" si="1"/>
        <v>3.3021463951568349E-3</v>
      </c>
      <c r="L4" s="14">
        <v>0.1</v>
      </c>
      <c r="M4" s="14">
        <f t="shared" si="2"/>
        <v>0.9</v>
      </c>
      <c r="N4" s="15">
        <f t="shared" ref="N4:N22" si="5">(L4*$F$2)+(M4*$G$2)</f>
        <v>5.0751325728715921E-2</v>
      </c>
      <c r="O4" s="16">
        <f t="shared" si="3"/>
        <v>1.4659381801282298E-2</v>
      </c>
      <c r="P4" s="17">
        <f t="shared" ref="P4:P22" si="6">SQRT(O4)</f>
        <v>0.12107593403018743</v>
      </c>
      <c r="Q4" s="18">
        <f t="shared" si="4"/>
        <v>0.39439155362460593</v>
      </c>
      <c r="S4" s="24" t="s">
        <v>17</v>
      </c>
      <c r="T4" s="22">
        <f>(U4*$F$2)+(V4*$G$2)</f>
        <v>5.4369893607263832E-2</v>
      </c>
      <c r="U4" s="11">
        <v>0</v>
      </c>
      <c r="V4" s="11">
        <f>1-U4</f>
        <v>1</v>
      </c>
    </row>
    <row r="5" spans="1:22" x14ac:dyDescent="0.35">
      <c r="A5" s="3">
        <v>46204</v>
      </c>
      <c r="B5" s="4">
        <v>351.79</v>
      </c>
      <c r="C5" s="4">
        <v>200.53</v>
      </c>
      <c r="D5" s="8">
        <f t="shared" si="0"/>
        <v>9.3600026848340387E-2</v>
      </c>
      <c r="E5" s="8">
        <f t="shared" si="1"/>
        <v>-5.1219975315674508E-2</v>
      </c>
      <c r="L5" s="14">
        <v>0.15</v>
      </c>
      <c r="M5" s="14">
        <f t="shared" si="2"/>
        <v>0.85</v>
      </c>
      <c r="N5" s="15">
        <f t="shared" si="5"/>
        <v>4.8942041789441962E-2</v>
      </c>
      <c r="O5" s="16">
        <f t="shared" si="3"/>
        <v>1.34371731129093E-2</v>
      </c>
      <c r="P5" s="17">
        <f t="shared" si="6"/>
        <v>0.11591882121946073</v>
      </c>
      <c r="Q5" s="18">
        <f t="shared" si="4"/>
        <v>0.39632944250238028</v>
      </c>
      <c r="S5" s="24" t="s">
        <v>18</v>
      </c>
      <c r="T5" s="23">
        <f>(U5^2*$H$2^2)+(V5^2*$I$2^2)+(2*U5*V5*$H$2*$I$2*$J$2)</f>
        <v>5.0157535953492009E-3</v>
      </c>
      <c r="U5" s="11">
        <v>0.8631861932296655</v>
      </c>
      <c r="V5" s="11">
        <f>1-U5</f>
        <v>0.1368138067703345</v>
      </c>
    </row>
    <row r="6" spans="1:22" x14ac:dyDescent="0.35">
      <c r="A6" s="5">
        <v>46174</v>
      </c>
      <c r="B6" s="6">
        <v>325.86</v>
      </c>
      <c r="C6" s="4">
        <v>199.87</v>
      </c>
      <c r="D6" s="8">
        <f t="shared" si="0"/>
        <v>-4.4447295000480898E-2</v>
      </c>
      <c r="E6" s="8">
        <f t="shared" si="1"/>
        <v>5.8008136206117132E-2</v>
      </c>
      <c r="L6" s="14">
        <v>0.2</v>
      </c>
      <c r="M6" s="14">
        <f t="shared" si="2"/>
        <v>0.8</v>
      </c>
      <c r="N6" s="15">
        <f t="shared" si="5"/>
        <v>4.7132757850168003E-2</v>
      </c>
      <c r="O6" s="16">
        <f t="shared" si="3"/>
        <v>1.229774900515419E-2</v>
      </c>
      <c r="P6" s="17">
        <f t="shared" si="6"/>
        <v>0.11089521633124753</v>
      </c>
      <c r="Q6" s="18">
        <f t="shared" si="4"/>
        <v>0.39796809375746245</v>
      </c>
      <c r="S6" s="24" t="s">
        <v>16</v>
      </c>
      <c r="T6" s="20">
        <f>((U6*$F$2+V6*$G$2)-0.3%)/SQRT((U6^2*$H$2^2)+(V6^2*$I$2^2)+(2*U6*V6*$H$2*$I$2*$J$2))</f>
        <v>0.39989157730447328</v>
      </c>
      <c r="U6" s="11">
        <v>0.31875406049457844</v>
      </c>
      <c r="V6" s="21">
        <f t="shared" ref="V6" si="7">1-U6</f>
        <v>0.68124593950542156</v>
      </c>
    </row>
    <row r="7" spans="1:22" x14ac:dyDescent="0.35">
      <c r="A7" s="3">
        <v>46143</v>
      </c>
      <c r="B7" s="4">
        <v>297.97000000000003</v>
      </c>
      <c r="C7" s="6">
        <v>210.66</v>
      </c>
      <c r="D7" s="8">
        <f t="shared" si="0"/>
        <v>7.0293461472455673E-2</v>
      </c>
      <c r="E7" s="8">
        <f t="shared" si="1"/>
        <v>0.14431034482758628</v>
      </c>
      <c r="L7" s="14">
        <v>0.25</v>
      </c>
      <c r="M7" s="14">
        <f t="shared" si="2"/>
        <v>0.75</v>
      </c>
      <c r="N7" s="15">
        <f t="shared" si="5"/>
        <v>4.5323473910894051E-2</v>
      </c>
      <c r="O7" s="16">
        <f t="shared" si="3"/>
        <v>1.124110947801696E-2</v>
      </c>
      <c r="P7" s="17">
        <f t="shared" si="6"/>
        <v>0.10602409857205559</v>
      </c>
      <c r="Q7" s="18">
        <f t="shared" si="4"/>
        <v>0.39918730251811924</v>
      </c>
    </row>
    <row r="8" spans="1:22" x14ac:dyDescent="0.35">
      <c r="A8" s="3">
        <v>46113</v>
      </c>
      <c r="B8" s="4">
        <v>311.83</v>
      </c>
      <c r="C8" s="4">
        <v>199.11</v>
      </c>
      <c r="D8" s="8">
        <f t="shared" si="0"/>
        <v>-2.0441784621591581E-2</v>
      </c>
      <c r="E8" s="8">
        <f t="shared" si="1"/>
        <v>-1.5725760832673387E-2</v>
      </c>
      <c r="L8" s="14">
        <v>0.3</v>
      </c>
      <c r="M8" s="14">
        <f t="shared" si="2"/>
        <v>0.7</v>
      </c>
      <c r="N8" s="15">
        <f t="shared" si="5"/>
        <v>4.3514189971620085E-2</v>
      </c>
      <c r="O8" s="16">
        <f t="shared" si="3"/>
        <v>1.0267254531497615E-2</v>
      </c>
      <c r="P8" s="17">
        <f t="shared" si="6"/>
        <v>0.10132746188224402</v>
      </c>
      <c r="Q8" s="18">
        <f t="shared" si="4"/>
        <v>0.39983425242312842</v>
      </c>
    </row>
    <row r="9" spans="1:22" x14ac:dyDescent="0.35">
      <c r="A9" s="5">
        <v>46082</v>
      </c>
      <c r="B9" s="6">
        <v>291.35000000000002</v>
      </c>
      <c r="C9" s="4">
        <v>174</v>
      </c>
      <c r="D9" s="8">
        <f t="shared" si="0"/>
        <v>-1.8285638842129651E-2</v>
      </c>
      <c r="E9" s="8">
        <f t="shared" si="1"/>
        <v>-7.2897000209775561E-2</v>
      </c>
      <c r="L9" s="14">
        <v>0.35</v>
      </c>
      <c r="M9" s="14">
        <f t="shared" si="2"/>
        <v>0.65</v>
      </c>
      <c r="N9" s="15">
        <f t="shared" si="5"/>
        <v>4.1704906032346133E-2</v>
      </c>
      <c r="O9" s="16">
        <f t="shared" si="3"/>
        <v>9.3761841655961593E-3</v>
      </c>
      <c r="P9" s="17">
        <f t="shared" si="6"/>
        <v>9.6830698466943629E-2</v>
      </c>
      <c r="Q9" s="18">
        <f t="shared" si="4"/>
        <v>0.39971730706413661</v>
      </c>
    </row>
    <row r="10" spans="1:22" x14ac:dyDescent="0.35">
      <c r="A10" s="3">
        <v>46054</v>
      </c>
      <c r="B10" s="4">
        <v>297.43</v>
      </c>
      <c r="C10" s="6">
        <v>176.78</v>
      </c>
      <c r="D10" s="8">
        <f t="shared" si="0"/>
        <v>-4.6394510717320682E-2</v>
      </c>
      <c r="E10" s="8">
        <f t="shared" si="1"/>
        <v>2.4830699774266388E-2</v>
      </c>
      <c r="L10" s="14">
        <v>0.4</v>
      </c>
      <c r="M10" s="14">
        <f t="shared" si="2"/>
        <v>0.6</v>
      </c>
      <c r="N10" s="15">
        <f t="shared" si="5"/>
        <v>3.9895622093072174E-2</v>
      </c>
      <c r="O10" s="16">
        <f t="shared" si="3"/>
        <v>8.5678983803125861E-3</v>
      </c>
      <c r="P10" s="17">
        <f t="shared" si="6"/>
        <v>9.2562942802790066E-2</v>
      </c>
      <c r="Q10" s="18">
        <f t="shared" si="4"/>
        <v>0.39860035750678458</v>
      </c>
      <c r="S10" s="27" t="s">
        <v>45</v>
      </c>
      <c r="T10" s="28"/>
    </row>
    <row r="11" spans="1:22" x14ac:dyDescent="0.35">
      <c r="A11" s="3">
        <v>46023</v>
      </c>
      <c r="B11" s="4">
        <v>302.97000000000003</v>
      </c>
      <c r="C11" s="4">
        <v>190.68</v>
      </c>
      <c r="D11" s="8">
        <f t="shared" si="0"/>
        <v>2.9186912860382219E-2</v>
      </c>
      <c r="E11" s="8">
        <f t="shared" si="1"/>
        <v>5.3686714237172889E-2</v>
      </c>
      <c r="L11" s="14">
        <v>0.45</v>
      </c>
      <c r="M11" s="14">
        <f t="shared" si="2"/>
        <v>0.55000000000000004</v>
      </c>
      <c r="N11" s="15">
        <f t="shared" si="5"/>
        <v>3.8086338153798222E-2</v>
      </c>
      <c r="O11" s="16">
        <f t="shared" si="3"/>
        <v>7.8423971756469008E-3</v>
      </c>
      <c r="P11" s="17">
        <f t="shared" si="6"/>
        <v>8.8557310119757482E-2</v>
      </c>
      <c r="Q11" s="18">
        <f t="shared" si="4"/>
        <v>0.39619923082973496</v>
      </c>
      <c r="S11" s="24" t="s">
        <v>19</v>
      </c>
    </row>
    <row r="12" spans="1:22" x14ac:dyDescent="0.35">
      <c r="A12" s="5">
        <v>45992</v>
      </c>
      <c r="B12" s="6">
        <v>317.70999999999998</v>
      </c>
      <c r="C12" s="4">
        <v>186.06</v>
      </c>
      <c r="D12" s="8">
        <f t="shared" si="0"/>
        <v>6.3241622115008406E-3</v>
      </c>
      <c r="E12" s="8">
        <f t="shared" si="1"/>
        <v>-0.12588485718528775</v>
      </c>
      <c r="L12" s="14">
        <v>0.5</v>
      </c>
      <c r="M12" s="14">
        <f t="shared" si="2"/>
        <v>0.5</v>
      </c>
      <c r="N12" s="15">
        <f t="shared" si="5"/>
        <v>3.6277054214524262E-2</v>
      </c>
      <c r="O12" s="16">
        <f t="shared" si="3"/>
        <v>7.1996805515990962E-3</v>
      </c>
      <c r="P12" s="17">
        <f t="shared" si="6"/>
        <v>8.4850931353751782E-2</v>
      </c>
      <c r="Q12" s="18">
        <f t="shared" si="4"/>
        <v>0.39218254512480227</v>
      </c>
      <c r="S12" s="25"/>
    </row>
    <row r="13" spans="1:22" x14ac:dyDescent="0.35">
      <c r="A13" s="3">
        <v>45962</v>
      </c>
      <c r="B13" s="4">
        <v>308.7</v>
      </c>
      <c r="C13" s="6">
        <v>176.58</v>
      </c>
      <c r="D13" s="8">
        <f t="shared" si="0"/>
        <v>-8.885011792833835E-3</v>
      </c>
      <c r="E13" s="8">
        <f t="shared" si="1"/>
        <v>8.5316714124536591E-2</v>
      </c>
      <c r="L13" s="14">
        <v>0.55000000000000004</v>
      </c>
      <c r="M13" s="14">
        <f t="shared" si="2"/>
        <v>0.44999999999999996</v>
      </c>
      <c r="N13" s="15">
        <f t="shared" si="5"/>
        <v>3.4467770275250303E-2</v>
      </c>
      <c r="O13" s="16">
        <f t="shared" si="3"/>
        <v>6.6397485081691786E-3</v>
      </c>
      <c r="P13" s="17">
        <f t="shared" si="6"/>
        <v>8.1484651979186723E-2</v>
      </c>
      <c r="Q13" s="18">
        <f t="shared" si="4"/>
        <v>0.38618033593968076</v>
      </c>
      <c r="S13" s="25" t="s">
        <v>20</v>
      </c>
    </row>
    <row r="14" spans="1:22" x14ac:dyDescent="0.35">
      <c r="A14" s="3">
        <v>45931</v>
      </c>
      <c r="B14" s="4">
        <v>306.76</v>
      </c>
      <c r="C14" s="4">
        <v>202.01</v>
      </c>
      <c r="D14" s="8">
        <f t="shared" si="0"/>
        <v>4.6490397619691641E-2</v>
      </c>
      <c r="E14" s="8">
        <f t="shared" si="1"/>
        <v>7.1251798561151047E-2</v>
      </c>
      <c r="L14" s="14">
        <v>0.6</v>
      </c>
      <c r="M14" s="14">
        <f t="shared" si="2"/>
        <v>0.4</v>
      </c>
      <c r="N14" s="15">
        <f t="shared" si="5"/>
        <v>3.2658486335976344E-2</v>
      </c>
      <c r="O14" s="16">
        <f t="shared" si="3"/>
        <v>6.162601045357147E-3</v>
      </c>
      <c r="P14" s="17">
        <f t="shared" si="6"/>
        <v>7.8502235925845751E-2</v>
      </c>
      <c r="Q14" s="18">
        <f t="shared" si="4"/>
        <v>0.37780435150907221</v>
      </c>
      <c r="S14" s="25" t="s">
        <v>21</v>
      </c>
    </row>
    <row r="15" spans="1:22" x14ac:dyDescent="0.35">
      <c r="A15" s="5">
        <v>45901</v>
      </c>
      <c r="B15" s="6">
        <v>309.51</v>
      </c>
      <c r="C15" s="4">
        <v>186.13</v>
      </c>
      <c r="D15" s="8">
        <f t="shared" si="0"/>
        <v>1.7476262556763395E-2</v>
      </c>
      <c r="E15" s="8">
        <f t="shared" si="1"/>
        <v>-2.0740573747393375E-2</v>
      </c>
      <c r="L15" s="14">
        <v>0.65</v>
      </c>
      <c r="M15" s="14">
        <f t="shared" si="2"/>
        <v>0.35</v>
      </c>
      <c r="N15" s="15">
        <f t="shared" si="5"/>
        <v>3.0849202396702385E-2</v>
      </c>
      <c r="O15" s="16">
        <f t="shared" si="3"/>
        <v>5.7682381631629998E-3</v>
      </c>
      <c r="P15" s="17">
        <f t="shared" si="6"/>
        <v>7.5948918117133168E-2</v>
      </c>
      <c r="Q15" s="18">
        <f t="shared" si="4"/>
        <v>0.36668333252294133</v>
      </c>
      <c r="S15" s="25" t="s">
        <v>22</v>
      </c>
    </row>
    <row r="16" spans="1:22" x14ac:dyDescent="0.35">
      <c r="A16" s="3">
        <v>45870</v>
      </c>
      <c r="B16" s="4">
        <v>295.76</v>
      </c>
      <c r="C16" s="6">
        <v>173.75</v>
      </c>
      <c r="D16" s="8">
        <f t="shared" si="0"/>
        <v>2.6774991169198105E-2</v>
      </c>
      <c r="E16" s="8">
        <f t="shared" si="1"/>
        <v>0.12582487309644677</v>
      </c>
      <c r="L16" s="14">
        <v>0.7</v>
      </c>
      <c r="M16" s="14">
        <f t="shared" si="2"/>
        <v>0.30000000000000004</v>
      </c>
      <c r="N16" s="15">
        <f t="shared" si="5"/>
        <v>2.9039918457428433E-2</v>
      </c>
      <c r="O16" s="16">
        <f t="shared" si="3"/>
        <v>5.4566598615867377E-3</v>
      </c>
      <c r="P16" s="17">
        <f t="shared" si="6"/>
        <v>7.3869207803974296E-2</v>
      </c>
      <c r="Q16" s="18">
        <f t="shared" si="4"/>
        <v>0.35251384482868975</v>
      </c>
    </row>
    <row r="17" spans="1:19" x14ac:dyDescent="0.35">
      <c r="A17" s="3">
        <v>45839</v>
      </c>
      <c r="B17" s="4">
        <v>290.68</v>
      </c>
      <c r="C17" s="4">
        <v>177.43</v>
      </c>
      <c r="D17" s="8">
        <f t="shared" si="0"/>
        <v>9.8138091543832462E-2</v>
      </c>
      <c r="E17" s="8">
        <f t="shared" si="1"/>
        <v>0.16922620372431191</v>
      </c>
      <c r="L17" s="14">
        <v>0.75</v>
      </c>
      <c r="M17" s="14">
        <f t="shared" si="2"/>
        <v>0.25</v>
      </c>
      <c r="N17" s="15">
        <f t="shared" si="5"/>
        <v>2.7230634518154474E-2</v>
      </c>
      <c r="O17" s="16">
        <f t="shared" si="3"/>
        <v>5.2278661406283608E-3</v>
      </c>
      <c r="P17" s="17">
        <f t="shared" si="6"/>
        <v>7.2303984265241983E-2</v>
      </c>
      <c r="Q17" s="18">
        <f t="shared" si="4"/>
        <v>0.33512170545493219</v>
      </c>
      <c r="S17" s="24" t="s">
        <v>23</v>
      </c>
    </row>
    <row r="18" spans="1:19" x14ac:dyDescent="0.35">
      <c r="A18" s="5">
        <v>45809</v>
      </c>
      <c r="B18" s="6">
        <v>283.10000000000002</v>
      </c>
      <c r="C18" s="4">
        <v>157.6</v>
      </c>
      <c r="D18" s="8">
        <f t="shared" si="0"/>
        <v>7.9202947086403283E-2</v>
      </c>
      <c r="E18" s="8">
        <f t="shared" si="1"/>
        <v>0.24058904739990783</v>
      </c>
      <c r="L18" s="14">
        <v>0.8</v>
      </c>
      <c r="M18" s="14">
        <f t="shared" si="2"/>
        <v>0.19999999999999996</v>
      </c>
      <c r="N18" s="15">
        <f t="shared" si="5"/>
        <v>2.5421350578880515E-2</v>
      </c>
      <c r="O18" s="16">
        <f t="shared" si="3"/>
        <v>5.0818570002878691E-3</v>
      </c>
      <c r="P18" s="17">
        <f t="shared" si="6"/>
        <v>7.1287144705675154E-2</v>
      </c>
      <c r="Q18" s="18">
        <f t="shared" si="4"/>
        <v>0.31452165283729699</v>
      </c>
      <c r="S18" s="25"/>
    </row>
    <row r="19" spans="1:19" x14ac:dyDescent="0.35">
      <c r="A19" s="3">
        <v>45778</v>
      </c>
      <c r="B19" s="4">
        <v>257.8</v>
      </c>
      <c r="C19" s="6">
        <v>134.79</v>
      </c>
      <c r="D19" s="8">
        <f t="shared" si="0"/>
        <v>3.4023606502289337E-3</v>
      </c>
      <c r="E19" s="8">
        <f t="shared" si="1"/>
        <v>4.9949125890297501E-3</v>
      </c>
      <c r="L19" s="14">
        <v>0.85</v>
      </c>
      <c r="M19" s="14">
        <f t="shared" si="2"/>
        <v>0.15000000000000002</v>
      </c>
      <c r="N19" s="15">
        <f t="shared" si="5"/>
        <v>2.3612066639606563E-2</v>
      </c>
      <c r="O19" s="16">
        <f t="shared" si="3"/>
        <v>5.0186324405652617E-3</v>
      </c>
      <c r="P19" s="17">
        <f t="shared" si="6"/>
        <v>7.0842306855192549E-2</v>
      </c>
      <c r="Q19" s="18">
        <f t="shared" si="4"/>
        <v>0.29095702207636048</v>
      </c>
      <c r="S19" s="25" t="s">
        <v>24</v>
      </c>
    </row>
    <row r="20" spans="1:19" x14ac:dyDescent="0.35">
      <c r="A20" s="3">
        <v>45748</v>
      </c>
      <c r="B20" s="4">
        <v>238.88</v>
      </c>
      <c r="C20" s="4">
        <v>108.65</v>
      </c>
      <c r="D20" s="8">
        <f t="shared" si="0"/>
        <v>-7.3116605022386719E-2</v>
      </c>
      <c r="E20" s="8">
        <f t="shared" si="1"/>
        <v>-0.13227385825507668</v>
      </c>
      <c r="L20" s="14">
        <v>0.9</v>
      </c>
      <c r="M20" s="14">
        <f t="shared" si="2"/>
        <v>9.9999999999999978E-2</v>
      </c>
      <c r="N20" s="15">
        <f t="shared" si="5"/>
        <v>2.1802782700332604E-2</v>
      </c>
      <c r="O20" s="16">
        <f t="shared" si="3"/>
        <v>5.0381924614605412E-3</v>
      </c>
      <c r="P20" s="17">
        <f t="shared" si="6"/>
        <v>7.0980225848193385E-2</v>
      </c>
      <c r="Q20" s="18">
        <f t="shared" si="4"/>
        <v>0.26490170291295545</v>
      </c>
      <c r="S20" s="25" t="s">
        <v>25</v>
      </c>
    </row>
    <row r="21" spans="1:19" x14ac:dyDescent="0.35">
      <c r="A21" s="5">
        <v>45717</v>
      </c>
      <c r="B21" s="6">
        <v>238.07</v>
      </c>
      <c r="C21" s="4">
        <v>108.11</v>
      </c>
      <c r="D21" s="8">
        <f t="shared" si="0"/>
        <v>-9.9448791581543544E-3</v>
      </c>
      <c r="E21" s="8">
        <f t="shared" si="1"/>
        <v>4.0330661322645275E-2</v>
      </c>
      <c r="L21" s="14">
        <v>0.95</v>
      </c>
      <c r="M21" s="14">
        <f t="shared" si="2"/>
        <v>5.0000000000000044E-2</v>
      </c>
      <c r="N21" s="15">
        <f t="shared" si="5"/>
        <v>1.9993498761058649E-2</v>
      </c>
      <c r="O21" s="16">
        <f t="shared" si="3"/>
        <v>5.1405370629737041E-3</v>
      </c>
      <c r="P21" s="17">
        <f t="shared" si="6"/>
        <v>7.1697538751157308E-2</v>
      </c>
      <c r="Q21" s="18">
        <f t="shared" si="4"/>
        <v>0.23701648699599676</v>
      </c>
      <c r="S21" s="25" t="s">
        <v>26</v>
      </c>
    </row>
    <row r="22" spans="1:19" x14ac:dyDescent="0.35">
      <c r="A22" s="3">
        <v>45689</v>
      </c>
      <c r="B22" s="4">
        <v>256.85000000000002</v>
      </c>
      <c r="C22" s="6">
        <v>124.59</v>
      </c>
      <c r="D22" s="8">
        <f t="shared" si="0"/>
        <v>0.12089004104558228</v>
      </c>
      <c r="E22" s="8">
        <f t="shared" si="1"/>
        <v>-0.10586829923846493</v>
      </c>
      <c r="L22" s="14">
        <v>1</v>
      </c>
      <c r="M22" s="14">
        <f t="shared" si="2"/>
        <v>0</v>
      </c>
      <c r="N22" s="15">
        <f t="shared" si="5"/>
        <v>1.818421482178469E-2</v>
      </c>
      <c r="O22" s="16">
        <f t="shared" si="3"/>
        <v>5.3256662451047531E-3</v>
      </c>
      <c r="P22" s="17">
        <f t="shared" si="6"/>
        <v>7.2977162490088315E-2</v>
      </c>
      <c r="Q22" s="18">
        <f t="shared" si="4"/>
        <v>0.20806803530963533</v>
      </c>
      <c r="S22" s="25" t="s">
        <v>27</v>
      </c>
    </row>
    <row r="23" spans="1:19" x14ac:dyDescent="0.35">
      <c r="A23" s="3">
        <v>45658</v>
      </c>
      <c r="B23" s="4">
        <v>259.43</v>
      </c>
      <c r="C23" s="4">
        <v>119.76</v>
      </c>
      <c r="D23" s="8">
        <f t="shared" si="0"/>
        <v>-4.0104512276045189E-2</v>
      </c>
      <c r="E23" s="8">
        <f t="shared" si="1"/>
        <v>-2.8575572961995924E-2</v>
      </c>
    </row>
    <row r="24" spans="1:19" x14ac:dyDescent="0.35">
      <c r="A24" s="5">
        <v>45627</v>
      </c>
      <c r="B24" s="6">
        <v>231.45</v>
      </c>
      <c r="C24" s="4">
        <v>133.94</v>
      </c>
      <c r="D24" s="8">
        <f t="shared" si="0"/>
        <v>0.12525667351129366</v>
      </c>
      <c r="E24" s="8">
        <f t="shared" si="1"/>
        <v>4.138972809667666E-2</v>
      </c>
      <c r="S24" s="24" t="s">
        <v>28</v>
      </c>
    </row>
    <row r="25" spans="1:19" x14ac:dyDescent="0.35">
      <c r="A25" s="3">
        <v>45597</v>
      </c>
      <c r="B25" s="4">
        <v>241.12</v>
      </c>
      <c r="C25" s="6">
        <v>137.88</v>
      </c>
      <c r="D25" s="8">
        <f t="shared" si="0"/>
        <v>5.8904921921328263E-2</v>
      </c>
      <c r="E25" s="8">
        <f t="shared" si="1"/>
        <v>9.3130779392338187E-2</v>
      </c>
      <c r="S25" s="25"/>
    </row>
    <row r="26" spans="1:19" x14ac:dyDescent="0.35">
      <c r="A26" s="3">
        <v>45566</v>
      </c>
      <c r="B26" s="4">
        <v>214.28</v>
      </c>
      <c r="C26" s="4">
        <v>132.4</v>
      </c>
      <c r="D26" s="8">
        <f t="shared" si="0"/>
        <v>-6.2019097061277437E-2</v>
      </c>
      <c r="E26" s="8">
        <f t="shared" si="1"/>
        <v>1.7473118279569877E-2</v>
      </c>
      <c r="S26" s="25" t="s">
        <v>29</v>
      </c>
    </row>
    <row r="27" spans="1:19" x14ac:dyDescent="0.35">
      <c r="A27" s="5">
        <v>45536</v>
      </c>
      <c r="B27" s="6">
        <v>202.36</v>
      </c>
      <c r="C27" s="4">
        <v>121.12</v>
      </c>
      <c r="D27" s="8">
        <f t="shared" si="0"/>
        <v>5.6409754186661491E-2</v>
      </c>
      <c r="E27" s="8">
        <f t="shared" si="1"/>
        <v>2.0051413881748102E-2</v>
      </c>
      <c r="S27" s="25" t="s">
        <v>30</v>
      </c>
    </row>
    <row r="28" spans="1:19" x14ac:dyDescent="0.35">
      <c r="A28" s="3">
        <v>45505</v>
      </c>
      <c r="B28" s="4">
        <v>215.74</v>
      </c>
      <c r="C28" s="6">
        <v>119.04</v>
      </c>
      <c r="D28" s="8">
        <f t="shared" si="0"/>
        <v>5.797026368958192E-2</v>
      </c>
      <c r="E28" s="8">
        <f t="shared" si="1"/>
        <v>-5.2759740259740256E-2</v>
      </c>
      <c r="S28" s="25" t="s">
        <v>31</v>
      </c>
    </row>
    <row r="29" spans="1:19" x14ac:dyDescent="0.35">
      <c r="A29" s="3">
        <v>45474</v>
      </c>
      <c r="B29" s="4">
        <v>204.22</v>
      </c>
      <c r="C29" s="4">
        <v>116.7</v>
      </c>
      <c r="D29" s="8">
        <f t="shared" si="0"/>
        <v>-1.861523346605229E-3</v>
      </c>
      <c r="E29" s="8">
        <f t="shared" si="1"/>
        <v>0.12696670325649478</v>
      </c>
      <c r="S29" s="25" t="s">
        <v>32</v>
      </c>
    </row>
    <row r="30" spans="1:19" x14ac:dyDescent="0.35">
      <c r="A30" s="5">
        <v>45444</v>
      </c>
      <c r="B30" s="6">
        <v>193.03</v>
      </c>
      <c r="C30" s="4">
        <v>123.2</v>
      </c>
      <c r="D30" s="8">
        <f t="shared" si="0"/>
        <v>5.6833706759932108E-2</v>
      </c>
      <c r="E30" s="8">
        <f t="shared" si="1"/>
        <v>0.26880222841225626</v>
      </c>
    </row>
    <row r="31" spans="1:19" x14ac:dyDescent="0.35">
      <c r="A31" s="3">
        <v>45413</v>
      </c>
      <c r="B31" s="4">
        <v>193.39</v>
      </c>
      <c r="C31" s="4">
        <v>109.32</v>
      </c>
      <c r="D31" s="8">
        <f t="shared" si="0"/>
        <v>-3.7198779332842227E-2</v>
      </c>
      <c r="E31" s="8">
        <f t="shared" si="1"/>
        <v>-4.3729189789123171E-2</v>
      </c>
      <c r="S31" s="24" t="s">
        <v>33</v>
      </c>
    </row>
    <row r="32" spans="1:19" x14ac:dyDescent="0.35">
      <c r="A32" s="3">
        <v>45383</v>
      </c>
      <c r="B32" s="4">
        <v>182.99</v>
      </c>
      <c r="C32" s="6">
        <v>86.16</v>
      </c>
      <c r="D32" s="8">
        <f t="shared" si="0"/>
        <v>7.6583210603829222E-2</v>
      </c>
      <c r="E32" s="8">
        <f t="shared" si="1"/>
        <v>0.14224137931034483</v>
      </c>
      <c r="S32" s="25"/>
    </row>
    <row r="33" spans="1:23" x14ac:dyDescent="0.35">
      <c r="A33" s="5">
        <v>45352</v>
      </c>
      <c r="B33" s="6">
        <v>190.06</v>
      </c>
      <c r="C33" s="6">
        <v>90.1</v>
      </c>
      <c r="D33" s="8">
        <f t="shared" si="0"/>
        <v>6.7093810444874238E-2</v>
      </c>
      <c r="E33" s="8">
        <f t="shared" si="1"/>
        <v>0.28573757131214333</v>
      </c>
      <c r="S33" s="25" t="s">
        <v>34</v>
      </c>
    </row>
    <row r="34" spans="1:23" x14ac:dyDescent="0.35">
      <c r="A34" s="3">
        <v>45323</v>
      </c>
      <c r="B34" s="4">
        <v>176.54</v>
      </c>
      <c r="C34" s="4">
        <v>78.88</v>
      </c>
      <c r="D34" s="8">
        <f t="shared" si="0"/>
        <v>3.1357147310018089E-2</v>
      </c>
      <c r="E34" s="8">
        <f t="shared" si="1"/>
        <v>0.24240583232077761</v>
      </c>
      <c r="S34" s="25" t="s">
        <v>35</v>
      </c>
    </row>
    <row r="35" spans="1:23" x14ac:dyDescent="0.35">
      <c r="A35" s="3">
        <v>45292</v>
      </c>
      <c r="B35" s="4">
        <v>165.44</v>
      </c>
      <c r="C35" s="6">
        <v>61.35</v>
      </c>
      <c r="D35" s="8">
        <f t="shared" si="0"/>
        <v>8.98158842312657E-2</v>
      </c>
      <c r="E35" s="8">
        <f t="shared" si="1"/>
        <v>5.8974908856959038E-2</v>
      </c>
      <c r="S35" s="25" t="s">
        <v>36</v>
      </c>
    </row>
    <row r="36" spans="1:23" x14ac:dyDescent="0.35">
      <c r="A36" s="5">
        <v>45261</v>
      </c>
      <c r="B36" s="6">
        <v>160.41</v>
      </c>
      <c r="C36" s="6">
        <v>49.38</v>
      </c>
      <c r="D36" s="8">
        <f t="shared" si="0"/>
        <v>0.12238828732652138</v>
      </c>
      <c r="E36" s="8">
        <f t="shared" si="1"/>
        <v>0.14682734874569617</v>
      </c>
      <c r="S36" s="25" t="s">
        <v>37</v>
      </c>
    </row>
    <row r="37" spans="1:23" x14ac:dyDescent="0.35">
      <c r="A37" s="3">
        <v>45231</v>
      </c>
      <c r="B37" s="4">
        <v>147.19</v>
      </c>
      <c r="C37" s="4">
        <v>46.63</v>
      </c>
      <c r="D37" s="8">
        <f t="shared" si="0"/>
        <v>-3.4030642309958788E-2</v>
      </c>
      <c r="E37" s="8">
        <f t="shared" si="1"/>
        <v>-6.2485589116901108E-2</v>
      </c>
      <c r="S37" s="25" t="s">
        <v>38</v>
      </c>
    </row>
    <row r="38" spans="1:23" x14ac:dyDescent="0.35">
      <c r="A38" s="3">
        <v>45200</v>
      </c>
      <c r="B38" s="4">
        <v>131.13999999999999</v>
      </c>
      <c r="C38" s="6">
        <v>40.659999999999997</v>
      </c>
      <c r="D38" s="8">
        <f t="shared" si="0"/>
        <v>-8.9064096948459556E-3</v>
      </c>
      <c r="E38" s="8">
        <f t="shared" si="1"/>
        <v>-0.11849593495934969</v>
      </c>
      <c r="S38" s="25" t="s">
        <v>39</v>
      </c>
    </row>
    <row r="39" spans="1:23" x14ac:dyDescent="0.35">
      <c r="A39" s="5">
        <v>45170</v>
      </c>
      <c r="B39" s="6">
        <v>135.76</v>
      </c>
      <c r="C39" s="6">
        <v>43.37</v>
      </c>
      <c r="D39" s="8">
        <f t="shared" si="0"/>
        <v>-7.3645769933049401E-2</v>
      </c>
      <c r="E39" s="8">
        <f t="shared" si="1"/>
        <v>5.6020605280103011E-2</v>
      </c>
    </row>
    <row r="40" spans="1:23" x14ac:dyDescent="0.35">
      <c r="A40" s="3">
        <v>45139</v>
      </c>
      <c r="B40" s="4">
        <v>136.97999999999999</v>
      </c>
      <c r="C40" s="4">
        <v>49.2</v>
      </c>
      <c r="D40" s="8">
        <f t="shared" si="0"/>
        <v>9.3551249815116144E-2</v>
      </c>
      <c r="E40" s="8">
        <f t="shared" si="1"/>
        <v>0.10481384870761208</v>
      </c>
      <c r="S40" s="24" t="s">
        <v>40</v>
      </c>
    </row>
    <row r="41" spans="1:23" x14ac:dyDescent="0.35">
      <c r="A41" s="3">
        <v>45108</v>
      </c>
      <c r="B41" s="4">
        <v>147.87</v>
      </c>
      <c r="C41" s="6">
        <v>46.59</v>
      </c>
      <c r="D41" s="8">
        <f t="shared" si="0"/>
        <v>7.1643683626565161E-2</v>
      </c>
      <c r="E41" s="8">
        <f t="shared" si="1"/>
        <v>0.11827101564571733</v>
      </c>
      <c r="S41" s="25"/>
    </row>
    <row r="42" spans="1:23" x14ac:dyDescent="0.35">
      <c r="A42" s="5">
        <v>45078</v>
      </c>
      <c r="B42" s="6">
        <v>135.22</v>
      </c>
      <c r="C42" s="6">
        <v>42.17</v>
      </c>
      <c r="D42" s="8">
        <f t="shared" si="0"/>
        <v>-1.8283669182292028E-2</v>
      </c>
      <c r="E42" s="8">
        <f t="shared" si="1"/>
        <v>0.36334056399132325</v>
      </c>
      <c r="S42" s="26" t="s">
        <v>41</v>
      </c>
    </row>
    <row r="43" spans="1:23" x14ac:dyDescent="0.35">
      <c r="A43" s="3">
        <v>45047</v>
      </c>
      <c r="B43" s="4">
        <v>126.18</v>
      </c>
      <c r="C43" s="4">
        <v>37.71</v>
      </c>
      <c r="D43" s="8">
        <f t="shared" si="0"/>
        <v>6.9212211962399198E-2</v>
      </c>
      <c r="E43" s="8">
        <f t="shared" si="1"/>
        <v>-1.0834236186349272E-3</v>
      </c>
      <c r="S43" s="26" t="s">
        <v>42</v>
      </c>
    </row>
    <row r="44" spans="1:23" x14ac:dyDescent="0.35">
      <c r="A44" s="3">
        <v>45017</v>
      </c>
      <c r="B44" s="4">
        <v>128.53</v>
      </c>
      <c r="C44" s="6">
        <v>27.66</v>
      </c>
      <c r="D44" s="8">
        <f t="shared" si="0"/>
        <v>-9.0970961887477428E-2</v>
      </c>
      <c r="E44" s="8">
        <f t="shared" si="1"/>
        <v>0.1966292134831461</v>
      </c>
      <c r="S44" s="26" t="s">
        <v>43</v>
      </c>
    </row>
    <row r="45" spans="1:23" x14ac:dyDescent="0.35">
      <c r="A45" s="5">
        <v>44986</v>
      </c>
      <c r="B45" s="6">
        <v>120.21</v>
      </c>
      <c r="C45" s="6">
        <v>27.69</v>
      </c>
      <c r="D45" s="8">
        <f t="shared" si="0"/>
        <v>2.4242893656571878E-2</v>
      </c>
      <c r="E45" s="8">
        <f t="shared" si="1"/>
        <v>0.18849512069851063</v>
      </c>
      <c r="S45" s="26" t="s">
        <v>44</v>
      </c>
    </row>
    <row r="46" spans="1:23" x14ac:dyDescent="0.35">
      <c r="A46" s="3">
        <v>44958</v>
      </c>
      <c r="B46" s="4">
        <v>132.24</v>
      </c>
      <c r="C46" s="4">
        <v>23.14</v>
      </c>
      <c r="D46" s="8">
        <f t="shared" si="0"/>
        <v>5.1384364820847038E-2</v>
      </c>
      <c r="E46" s="8">
        <f t="shared" si="1"/>
        <v>0.33630748112560044</v>
      </c>
    </row>
    <row r="47" spans="1:23" x14ac:dyDescent="0.35">
      <c r="A47" s="3">
        <v>44927</v>
      </c>
      <c r="B47" s="4">
        <v>129.11000000000001</v>
      </c>
      <c r="C47" s="6">
        <v>19.47</v>
      </c>
      <c r="D47" s="8">
        <f t="shared" si="0"/>
        <v>-2.9555871661134891E-2</v>
      </c>
      <c r="E47" s="8">
        <f t="shared" si="1"/>
        <v>-0.13633669235328991</v>
      </c>
    </row>
    <row r="48" spans="1:23" ht="43.5" x14ac:dyDescent="0.35">
      <c r="A48" s="5">
        <v>44896</v>
      </c>
      <c r="B48" s="6">
        <v>122.8</v>
      </c>
      <c r="C48" s="4">
        <v>14.57</v>
      </c>
      <c r="D48" s="8">
        <f t="shared" si="0"/>
        <v>9.7770451982302511E-2</v>
      </c>
      <c r="E48" s="8">
        <f t="shared" si="1"/>
        <v>0.25427509293680312</v>
      </c>
      <c r="S48" s="29" t="s">
        <v>46</v>
      </c>
      <c r="T48" s="29" t="s">
        <v>47</v>
      </c>
      <c r="U48" s="29" t="s">
        <v>48</v>
      </c>
      <c r="V48" s="29" t="s">
        <v>49</v>
      </c>
      <c r="W48" s="29" t="s">
        <v>50</v>
      </c>
    </row>
    <row r="49" spans="1:23" ht="116" x14ac:dyDescent="0.35">
      <c r="A49" s="3">
        <v>44866</v>
      </c>
      <c r="B49" s="4">
        <v>126.54</v>
      </c>
      <c r="C49" s="4">
        <v>16.87</v>
      </c>
      <c r="D49" s="8">
        <f t="shared" si="0"/>
        <v>0.21528729573010019</v>
      </c>
      <c r="E49" s="8">
        <f t="shared" si="1"/>
        <v>0.11157024793388427</v>
      </c>
      <c r="S49" s="30" t="s">
        <v>17</v>
      </c>
      <c r="T49" s="30" t="s">
        <v>51</v>
      </c>
      <c r="U49" s="30" t="s">
        <v>51</v>
      </c>
      <c r="V49" s="30" t="s">
        <v>52</v>
      </c>
      <c r="W49" s="30" t="s">
        <v>53</v>
      </c>
    </row>
    <row r="50" spans="1:23" ht="72.5" x14ac:dyDescent="0.35">
      <c r="A50" s="3">
        <v>44835</v>
      </c>
      <c r="B50" s="4">
        <v>115.27</v>
      </c>
      <c r="C50" s="6">
        <v>13.45</v>
      </c>
      <c r="D50" s="8">
        <f t="shared" si="0"/>
        <v>-8.1088936252664251E-2</v>
      </c>
      <c r="E50" s="8">
        <f t="shared" si="1"/>
        <v>-0.19547872340425529</v>
      </c>
      <c r="S50" s="30" t="s">
        <v>18</v>
      </c>
      <c r="T50" s="30" t="s">
        <v>54</v>
      </c>
      <c r="U50" s="30" t="s">
        <v>55</v>
      </c>
      <c r="V50" s="30" t="s">
        <v>56</v>
      </c>
      <c r="W50" s="30" t="s">
        <v>57</v>
      </c>
    </row>
    <row r="51" spans="1:23" ht="130.5" x14ac:dyDescent="0.35">
      <c r="A51" s="5">
        <v>44805</v>
      </c>
      <c r="B51" s="6">
        <v>94.85</v>
      </c>
      <c r="C51" s="6">
        <v>12.1</v>
      </c>
      <c r="D51" s="8">
        <f t="shared" si="0"/>
        <v>-1.4135625596943686E-2</v>
      </c>
      <c r="E51" s="8">
        <f t="shared" si="1"/>
        <v>-0.16860143725815371</v>
      </c>
      <c r="S51" s="30" t="s">
        <v>58</v>
      </c>
      <c r="T51" s="30" t="s">
        <v>59</v>
      </c>
      <c r="U51" s="30" t="s">
        <v>60</v>
      </c>
      <c r="V51" s="30" t="s">
        <v>56</v>
      </c>
      <c r="W51" s="30" t="s">
        <v>61</v>
      </c>
    </row>
    <row r="52" spans="1:23" x14ac:dyDescent="0.35">
      <c r="A52" s="3">
        <v>44774</v>
      </c>
      <c r="B52" s="4">
        <v>103.22</v>
      </c>
      <c r="C52" s="4">
        <v>15.04</v>
      </c>
      <c r="D52" s="8">
        <f t="shared" si="0"/>
        <v>3.3461652354160501E-2</v>
      </c>
      <c r="E52" s="8">
        <f t="shared" si="1"/>
        <v>0.1980132450331126</v>
      </c>
    </row>
    <row r="53" spans="1:23" x14ac:dyDescent="0.35">
      <c r="A53" s="3">
        <v>44743</v>
      </c>
      <c r="B53" s="4">
        <v>104.7</v>
      </c>
      <c r="C53" s="6">
        <v>18.09</v>
      </c>
      <c r="D53" s="8">
        <f t="shared" si="0"/>
        <v>-0.14836919973100196</v>
      </c>
      <c r="E53" s="8">
        <f t="shared" si="1"/>
        <v>-0.18817204301075277</v>
      </c>
      <c r="S53" s="31" t="s">
        <v>62</v>
      </c>
    </row>
    <row r="54" spans="1:23" ht="275.5" x14ac:dyDescent="0.35">
      <c r="A54" s="5">
        <v>44713</v>
      </c>
      <c r="B54" s="6">
        <v>101.31</v>
      </c>
      <c r="C54" s="6">
        <v>15.1</v>
      </c>
      <c r="D54" s="8">
        <f t="shared" si="0"/>
        <v>0.10784131123114173</v>
      </c>
      <c r="E54" s="8">
        <f t="shared" si="1"/>
        <v>7.0384407146725806E-3</v>
      </c>
      <c r="S54" s="30" t="s">
        <v>63</v>
      </c>
    </row>
    <row r="55" spans="1:23" x14ac:dyDescent="0.35">
      <c r="A55" s="3">
        <v>44682</v>
      </c>
      <c r="B55" s="4">
        <v>118.96</v>
      </c>
      <c r="C55" s="4">
        <v>18.600000000000001</v>
      </c>
      <c r="D55" s="8">
        <f t="shared" si="0"/>
        <v>-0.11795630031214063</v>
      </c>
      <c r="E55" s="8">
        <f t="shared" si="1"/>
        <v>-0.32020610967979396</v>
      </c>
    </row>
    <row r="56" spans="1:23" x14ac:dyDescent="0.35">
      <c r="A56" s="3">
        <v>44652</v>
      </c>
      <c r="B56" s="4">
        <v>107.38</v>
      </c>
      <c r="C56" s="6">
        <v>18.47</v>
      </c>
      <c r="D56" s="8">
        <f t="shared" si="0"/>
        <v>-3.8616441601516234E-2</v>
      </c>
      <c r="E56" s="8">
        <f t="shared" si="1"/>
        <v>0.11902800658978585</v>
      </c>
    </row>
    <row r="57" spans="1:23" x14ac:dyDescent="0.35">
      <c r="A57" s="5">
        <v>44621</v>
      </c>
      <c r="B57" s="6">
        <v>121.74</v>
      </c>
      <c r="C57" s="6">
        <v>27.17</v>
      </c>
      <c r="D57" s="8">
        <f t="shared" si="0"/>
        <v>-4.581418129756621E-2</v>
      </c>
      <c r="E57" s="8">
        <f t="shared" si="1"/>
        <v>-4.1017227235438007E-3</v>
      </c>
    </row>
    <row r="58" spans="1:23" x14ac:dyDescent="0.35">
      <c r="A58" s="3">
        <v>44593</v>
      </c>
      <c r="B58" s="4">
        <v>126.63</v>
      </c>
      <c r="C58" s="4">
        <v>24.28</v>
      </c>
      <c r="D58" s="8">
        <f t="shared" si="0"/>
        <v>-5.5915202390268093E-2</v>
      </c>
      <c r="E58" s="8">
        <f t="shared" si="1"/>
        <v>-0.16763400477978832</v>
      </c>
    </row>
    <row r="59" spans="1:23" x14ac:dyDescent="0.35">
      <c r="A59" s="3">
        <v>44562</v>
      </c>
      <c r="B59" s="4">
        <v>132.71</v>
      </c>
      <c r="C59" s="6">
        <v>24.38</v>
      </c>
      <c r="D59" s="8">
        <f t="shared" si="0"/>
        <v>-3.0496453900709704E-3</v>
      </c>
      <c r="E59" s="8">
        <f t="shared" si="1"/>
        <v>-9.9600368890255211E-2</v>
      </c>
    </row>
    <row r="60" spans="1:23" x14ac:dyDescent="0.35">
      <c r="A60" s="5">
        <v>44531</v>
      </c>
      <c r="B60" s="6">
        <v>140.57</v>
      </c>
      <c r="C60" s="6">
        <v>29.29</v>
      </c>
      <c r="D60" s="8">
        <f t="shared" si="0"/>
        <v>-6.5110728020156439E-2</v>
      </c>
      <c r="E60" s="8">
        <f t="shared" si="1"/>
        <v>0.27819253438113956</v>
      </c>
    </row>
    <row r="61" spans="1:23" x14ac:dyDescent="0.35">
      <c r="A61" s="3">
        <v>44501</v>
      </c>
      <c r="B61" s="4">
        <v>141</v>
      </c>
      <c r="C61" s="4">
        <v>32.53</v>
      </c>
      <c r="D61" s="8">
        <f t="shared" si="0"/>
        <v>4.4170589864303486E-2</v>
      </c>
      <c r="E61" s="8">
        <f t="shared" si="1"/>
        <v>0.23364032961706255</v>
      </c>
    </row>
    <row r="62" spans="1:23" x14ac:dyDescent="0.35">
      <c r="A62" s="3">
        <v>44470</v>
      </c>
      <c r="B62" s="4">
        <v>150.82</v>
      </c>
      <c r="C62" s="6">
        <v>25.45</v>
      </c>
      <c r="D62" s="8">
        <f t="shared" si="0"/>
        <v>2.3381040102026438E-2</v>
      </c>
      <c r="E62" s="8">
        <f t="shared" si="1"/>
        <v>-7.4472857783759547E-2</v>
      </c>
    </row>
    <row r="63" spans="1:23" x14ac:dyDescent="0.35">
      <c r="A63" s="5">
        <v>44440</v>
      </c>
      <c r="B63" s="6">
        <v>144.44</v>
      </c>
      <c r="C63" s="4">
        <v>20.63</v>
      </c>
      <c r="D63" s="8">
        <f t="shared" si="0"/>
        <v>5.3834092436347188E-2</v>
      </c>
      <c r="E63" s="8">
        <f t="shared" si="1"/>
        <v>0.14837712519319932</v>
      </c>
    </row>
    <row r="64" spans="1:23" x14ac:dyDescent="0.35">
      <c r="A64" s="3">
        <v>44409</v>
      </c>
      <c r="B64" s="4">
        <v>141.13999999999999</v>
      </c>
      <c r="C64" s="4">
        <v>22.29</v>
      </c>
      <c r="D64" s="8">
        <f t="shared" si="0"/>
        <v>-1.8540231569690761E-2</v>
      </c>
      <c r="E64" s="8">
        <f t="shared" si="1"/>
        <v>-2.5113008538422903E-2</v>
      </c>
    </row>
    <row r="65" spans="1:5" x14ac:dyDescent="0.35">
      <c r="A65" s="3">
        <v>44378</v>
      </c>
      <c r="B65" s="4">
        <v>133.93</v>
      </c>
      <c r="C65" s="4">
        <v>19.41</v>
      </c>
      <c r="D65" s="8">
        <f t="shared" si="0"/>
        <v>-5.3018736988202544E-2</v>
      </c>
      <c r="E65" s="8">
        <f t="shared" si="1"/>
        <v>0.23129251700680259</v>
      </c>
    </row>
    <row r="66" spans="1:5" x14ac:dyDescent="0.35">
      <c r="A66" s="5">
        <v>44348</v>
      </c>
      <c r="B66" s="6">
        <v>136.46</v>
      </c>
      <c r="C66" s="4">
        <v>19.91</v>
      </c>
      <c r="D66" s="8">
        <f t="shared" si="0"/>
        <v>6.7802889959244217E-2</v>
      </c>
      <c r="E66" s="8">
        <f t="shared" si="1"/>
        <v>8.2329317269076455E-2</v>
      </c>
    </row>
    <row r="67" spans="1:5" x14ac:dyDescent="0.35">
      <c r="A67" s="3">
        <v>44317</v>
      </c>
      <c r="B67" s="4">
        <v>144.1</v>
      </c>
      <c r="C67" s="6">
        <v>16.170000000000002</v>
      </c>
      <c r="D67" s="8">
        <f t="shared" ref="D67:D91" si="8">(B68-B69)/B69</f>
        <v>1.6342822714264103E-2</v>
      </c>
      <c r="E67" s="8">
        <f t="shared" ref="E67:E93" si="9">(C68-C69)/C69</f>
        <v>0.12500000000000003</v>
      </c>
    </row>
    <row r="68" spans="1:5" x14ac:dyDescent="0.35">
      <c r="A68" s="3">
        <v>44287</v>
      </c>
      <c r="B68" s="4">
        <v>134.94999999999999</v>
      </c>
      <c r="C68" s="4">
        <v>14.94</v>
      </c>
      <c r="D68" s="8">
        <f t="shared" si="8"/>
        <v>3.4434403240884912E-2</v>
      </c>
      <c r="E68" s="8">
        <f t="shared" si="9"/>
        <v>-2.6392961876832932E-2</v>
      </c>
    </row>
    <row r="69" spans="1:5" x14ac:dyDescent="0.35">
      <c r="A69" s="5">
        <v>44256</v>
      </c>
      <c r="B69" s="6">
        <v>132.78</v>
      </c>
      <c r="C69" s="4">
        <v>13.28</v>
      </c>
      <c r="D69" s="8">
        <f t="shared" si="8"/>
        <v>0.1437227122872673</v>
      </c>
      <c r="E69" s="8">
        <f t="shared" si="9"/>
        <v>5.572755417956661E-2</v>
      </c>
    </row>
    <row r="70" spans="1:5" x14ac:dyDescent="0.35">
      <c r="A70" s="3">
        <v>44228</v>
      </c>
      <c r="B70" s="4">
        <v>128.36000000000001</v>
      </c>
      <c r="C70" s="6">
        <v>13.64</v>
      </c>
      <c r="D70" s="8">
        <f t="shared" si="8"/>
        <v>1.99018538713195E-2</v>
      </c>
      <c r="E70" s="8">
        <f t="shared" si="9"/>
        <v>-5.3887605850654564E-3</v>
      </c>
    </row>
    <row r="71" spans="1:5" x14ac:dyDescent="0.35">
      <c r="A71" s="3">
        <v>44197</v>
      </c>
      <c r="B71" s="4">
        <v>112.23</v>
      </c>
      <c r="C71" s="4">
        <v>12.92</v>
      </c>
      <c r="D71" s="8">
        <f t="shared" si="8"/>
        <v>7.7978056426332362E-2</v>
      </c>
      <c r="E71" s="8">
        <f t="shared" si="9"/>
        <v>-2.5506376594148526E-2</v>
      </c>
    </row>
    <row r="72" spans="1:5" x14ac:dyDescent="0.35">
      <c r="A72" s="5">
        <v>44166</v>
      </c>
      <c r="B72" s="6">
        <v>110.04</v>
      </c>
      <c r="C72" s="4">
        <v>12.99</v>
      </c>
      <c r="D72" s="8">
        <f t="shared" si="8"/>
        <v>0.20235571260306232</v>
      </c>
      <c r="E72" s="8">
        <f t="shared" si="9"/>
        <v>6.8965517241379268E-2</v>
      </c>
    </row>
    <row r="73" spans="1:5" x14ac:dyDescent="0.35">
      <c r="A73" s="3">
        <v>44136</v>
      </c>
      <c r="B73" s="4">
        <v>102.08</v>
      </c>
      <c r="C73" s="6">
        <v>13.33</v>
      </c>
      <c r="D73" s="8">
        <f t="shared" si="8"/>
        <v>2.7845036319612729E-2</v>
      </c>
      <c r="E73" s="8">
        <f t="shared" si="9"/>
        <v>-7.35512630014859E-2</v>
      </c>
    </row>
    <row r="74" spans="1:5" x14ac:dyDescent="0.35">
      <c r="A74" s="3">
        <v>44105</v>
      </c>
      <c r="B74" s="4">
        <v>84.9</v>
      </c>
      <c r="C74" s="4">
        <v>12.47</v>
      </c>
      <c r="D74" s="8">
        <f t="shared" si="8"/>
        <v>-3.9087947882736153E-2</v>
      </c>
      <c r="E74" s="8">
        <f t="shared" si="9"/>
        <v>1.2030075187969934E-2</v>
      </c>
    </row>
    <row r="75" spans="1:5" x14ac:dyDescent="0.35">
      <c r="A75" s="5">
        <v>44075</v>
      </c>
      <c r="B75" s="4">
        <v>82.6</v>
      </c>
      <c r="C75" s="4">
        <v>13.46</v>
      </c>
      <c r="D75" s="8">
        <f t="shared" si="8"/>
        <v>3.6661842739990257E-2</v>
      </c>
      <c r="E75" s="8">
        <f t="shared" si="9"/>
        <v>0.26066350710900471</v>
      </c>
    </row>
    <row r="76" spans="1:5" x14ac:dyDescent="0.35">
      <c r="A76" s="3">
        <v>44044</v>
      </c>
      <c r="B76" s="6">
        <v>85.96</v>
      </c>
      <c r="C76" s="6">
        <v>13.3</v>
      </c>
      <c r="D76" s="8">
        <f t="shared" si="8"/>
        <v>3.7407731765294563E-2</v>
      </c>
      <c r="E76" s="8">
        <f t="shared" si="9"/>
        <v>0.117584745762712</v>
      </c>
    </row>
    <row r="77" spans="1:5" x14ac:dyDescent="0.35">
      <c r="A77" s="3">
        <v>44013</v>
      </c>
      <c r="B77" s="4">
        <v>82.92</v>
      </c>
      <c r="C77" s="4">
        <v>10.55</v>
      </c>
      <c r="D77" s="8">
        <f t="shared" si="8"/>
        <v>-3.3377675656064712E-2</v>
      </c>
      <c r="E77" s="8">
        <f t="shared" si="9"/>
        <v>7.0294784580498773E-2</v>
      </c>
    </row>
    <row r="78" spans="1:5" x14ac:dyDescent="0.35">
      <c r="A78" s="5">
        <v>43983</v>
      </c>
      <c r="B78" s="4">
        <v>79.930000000000007</v>
      </c>
      <c r="C78" s="4">
        <v>9.44</v>
      </c>
      <c r="D78" s="8">
        <f t="shared" si="8"/>
        <v>1.6222194912129694E-2</v>
      </c>
      <c r="E78" s="8">
        <f t="shared" si="9"/>
        <v>0.2148760330578513</v>
      </c>
    </row>
    <row r="79" spans="1:5" x14ac:dyDescent="0.35">
      <c r="A79" s="3">
        <v>43952</v>
      </c>
      <c r="B79" s="6">
        <v>82.69</v>
      </c>
      <c r="C79" s="6">
        <v>8.82</v>
      </c>
      <c r="D79" s="8">
        <f t="shared" si="8"/>
        <v>7.475894861973334E-2</v>
      </c>
      <c r="E79" s="8">
        <f t="shared" si="9"/>
        <v>0.10839694656488549</v>
      </c>
    </row>
    <row r="80" spans="1:5" x14ac:dyDescent="0.35">
      <c r="A80" s="3">
        <v>43922</v>
      </c>
      <c r="B80" s="4">
        <v>81.37</v>
      </c>
      <c r="C80" s="4">
        <v>7.26</v>
      </c>
      <c r="D80" s="8">
        <f t="shared" si="8"/>
        <v>-0.22467997951868932</v>
      </c>
      <c r="E80" s="8">
        <f t="shared" si="9"/>
        <v>-2.3845007451564849E-2</v>
      </c>
    </row>
    <row r="81" spans="1:5" x14ac:dyDescent="0.35">
      <c r="A81" s="5">
        <v>43891</v>
      </c>
      <c r="B81" s="4">
        <v>75.709999999999994</v>
      </c>
      <c r="C81" s="6">
        <v>6.55</v>
      </c>
      <c r="D81" s="8">
        <f t="shared" si="8"/>
        <v>-0.12272033060821128</v>
      </c>
      <c r="E81" s="8">
        <f t="shared" si="9"/>
        <v>0.14310051107325381</v>
      </c>
    </row>
    <row r="82" spans="1:5" x14ac:dyDescent="0.35">
      <c r="A82" s="3">
        <v>43862</v>
      </c>
      <c r="B82" s="6">
        <v>97.65</v>
      </c>
      <c r="C82" s="6">
        <v>6.71</v>
      </c>
      <c r="D82" s="8">
        <f t="shared" si="8"/>
        <v>-4.446733625203874E-2</v>
      </c>
      <c r="E82" s="8">
        <f t="shared" si="9"/>
        <v>5.1369863013699061E-3</v>
      </c>
    </row>
    <row r="83" spans="1:5" x14ac:dyDescent="0.35">
      <c r="A83" s="3">
        <v>43831</v>
      </c>
      <c r="B83" s="4">
        <v>111.31</v>
      </c>
      <c r="C83" s="4">
        <v>5.87</v>
      </c>
      <c r="D83" s="8">
        <f t="shared" si="8"/>
        <v>5.8038147138964588E-2</v>
      </c>
      <c r="E83" s="8">
        <f t="shared" si="9"/>
        <v>8.5501858736059477E-2</v>
      </c>
    </row>
    <row r="84" spans="1:5" x14ac:dyDescent="0.35">
      <c r="A84" s="5">
        <v>43800</v>
      </c>
      <c r="B84" s="4">
        <v>116.49</v>
      </c>
      <c r="C84" s="6">
        <v>5.84</v>
      </c>
      <c r="D84" s="8">
        <f t="shared" si="8"/>
        <v>5.4698725931602583E-2</v>
      </c>
      <c r="E84" s="8">
        <f t="shared" si="9"/>
        <v>7.815631262525044E-2</v>
      </c>
    </row>
    <row r="85" spans="1:5" x14ac:dyDescent="0.35">
      <c r="A85" s="3">
        <v>43770</v>
      </c>
      <c r="B85" s="6">
        <v>110.1</v>
      </c>
      <c r="C85" s="6">
        <v>5.38</v>
      </c>
      <c r="D85" s="8">
        <f t="shared" si="8"/>
        <v>7.0008200082000802E-2</v>
      </c>
      <c r="E85" s="8">
        <f t="shared" si="9"/>
        <v>0.15509259259259256</v>
      </c>
    </row>
    <row r="86" spans="1:5" x14ac:dyDescent="0.35">
      <c r="A86" s="3">
        <v>43739</v>
      </c>
      <c r="B86" s="4">
        <v>104.39</v>
      </c>
      <c r="C86" s="4">
        <v>4.99</v>
      </c>
      <c r="D86" s="8">
        <f t="shared" si="8"/>
        <v>7.1263862962556379E-2</v>
      </c>
      <c r="E86" s="8">
        <f t="shared" si="9"/>
        <v>3.8461538461538491E-2</v>
      </c>
    </row>
    <row r="87" spans="1:5" x14ac:dyDescent="0.35">
      <c r="A87" s="5">
        <v>43709</v>
      </c>
      <c r="B87" s="4">
        <v>97.56</v>
      </c>
      <c r="C87" s="6">
        <v>4.32</v>
      </c>
      <c r="D87" s="8">
        <f t="shared" si="8"/>
        <v>-5.2932612312812016E-2</v>
      </c>
      <c r="E87" s="8">
        <f t="shared" si="9"/>
        <v>-4.7846889952152093E-3</v>
      </c>
    </row>
    <row r="88" spans="1:5" x14ac:dyDescent="0.35">
      <c r="A88" s="3">
        <v>43678</v>
      </c>
      <c r="B88" s="6">
        <v>91.07</v>
      </c>
      <c r="C88" s="6">
        <v>4.16</v>
      </c>
      <c r="D88" s="8">
        <f t="shared" si="8"/>
        <v>4.4876670650874667E-2</v>
      </c>
      <c r="E88" s="8">
        <f t="shared" si="9"/>
        <v>2.7027027027026886E-2</v>
      </c>
    </row>
    <row r="89" spans="1:5" x14ac:dyDescent="0.35">
      <c r="A89" s="3">
        <v>43647</v>
      </c>
      <c r="B89" s="4">
        <v>96.16</v>
      </c>
      <c r="C89" s="4">
        <v>4.18</v>
      </c>
      <c r="D89" s="8">
        <f t="shared" si="8"/>
        <v>5.5147901857372186E-2</v>
      </c>
      <c r="E89" s="8">
        <f t="shared" si="9"/>
        <v>0.21130952380952395</v>
      </c>
    </row>
    <row r="90" spans="1:5" x14ac:dyDescent="0.35">
      <c r="A90" s="5">
        <v>43617</v>
      </c>
      <c r="B90" s="4">
        <v>92.03</v>
      </c>
      <c r="C90" s="6">
        <v>4.07</v>
      </c>
      <c r="D90" s="8">
        <f t="shared" si="8"/>
        <v>-8.6988380613419888E-2</v>
      </c>
      <c r="E90" s="8">
        <f t="shared" si="9"/>
        <v>-0.25000000000000011</v>
      </c>
    </row>
    <row r="91" spans="1:5" x14ac:dyDescent="0.35">
      <c r="A91" s="3">
        <v>43586</v>
      </c>
      <c r="B91" s="6">
        <v>87.22</v>
      </c>
      <c r="C91" s="6">
        <v>3.36</v>
      </c>
      <c r="D91" s="8">
        <f t="shared" si="8"/>
        <v>0.15513905683192258</v>
      </c>
      <c r="E91" s="8">
        <f t="shared" si="9"/>
        <v>6.7415730337079208E-3</v>
      </c>
    </row>
    <row r="92" spans="1:5" x14ac:dyDescent="0.35">
      <c r="A92" s="3">
        <v>43556</v>
      </c>
      <c r="B92" s="4">
        <v>95.53</v>
      </c>
      <c r="C92" s="4">
        <v>4.4800000000000004</v>
      </c>
      <c r="D92" s="8">
        <f>(B93-B94)/B94</f>
        <v>-2.9912023460410525E-2</v>
      </c>
      <c r="E92" s="8">
        <f t="shared" si="9"/>
        <v>0.16492146596858648</v>
      </c>
    </row>
    <row r="93" spans="1:5" x14ac:dyDescent="0.35">
      <c r="A93" s="5">
        <v>43525</v>
      </c>
      <c r="B93" s="4">
        <v>82.7</v>
      </c>
      <c r="C93" s="6">
        <v>4.45</v>
      </c>
      <c r="D93" s="8">
        <f>(B94-B95)/B95</f>
        <v>8.279124778237763E-3</v>
      </c>
      <c r="E93" s="8">
        <f t="shared" si="9"/>
        <v>7.3033707865168482E-2</v>
      </c>
    </row>
    <row r="94" spans="1:5" x14ac:dyDescent="0.35">
      <c r="A94" s="3">
        <v>43497</v>
      </c>
      <c r="B94" s="6">
        <v>85.25</v>
      </c>
      <c r="C94" s="6">
        <v>3.82</v>
      </c>
    </row>
    <row r="95" spans="1:5" x14ac:dyDescent="0.35">
      <c r="A95" s="3">
        <v>43466</v>
      </c>
      <c r="B95" s="4">
        <v>84.55</v>
      </c>
      <c r="C95" s="4">
        <v>3.56</v>
      </c>
    </row>
    <row r="96" spans="1:5" x14ac:dyDescent="0.35">
      <c r="B96"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101ED9E223E24B96ED92ED4CE43BFF" ma:contentTypeVersion="4" ma:contentTypeDescription="Create a new document." ma:contentTypeScope="" ma:versionID="195d003f93373e7b8d12d75840788603">
  <xsd:schema xmlns:xsd="http://www.w3.org/2001/XMLSchema" xmlns:xs="http://www.w3.org/2001/XMLSchema" xmlns:p="http://schemas.microsoft.com/office/2006/metadata/properties" xmlns:ns3="42e773f9-7c65-4058-ad90-4360175cc43c" targetNamespace="http://schemas.microsoft.com/office/2006/metadata/properties" ma:root="true" ma:fieldsID="1f5ed889a4bb548999cef80fa1bc44c1" ns3:_="">
    <xsd:import namespace="42e773f9-7c65-4058-ad90-4360175cc43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e773f9-7c65-4058-ad90-4360175cc43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833BBC-22EA-4590-AF6E-20E5406297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e773f9-7c65-4058-ad90-4360175cc4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E5DA82-0F64-494E-8102-8F20525B115B}">
  <ds:schemaRefs>
    <ds:schemaRef ds:uri="http://schemas.microsoft.com/sharepoint/v3/contenttype/forms"/>
  </ds:schemaRefs>
</ds:datastoreItem>
</file>

<file path=customXml/itemProps3.xml><?xml version="1.0" encoding="utf-8"?>
<ds:datastoreItem xmlns:ds="http://schemas.openxmlformats.org/officeDocument/2006/customXml" ds:itemID="{284B3766-262A-43D6-B5CA-40866A846C86}">
  <ds:schemaRefs>
    <ds:schemaRef ds:uri="http://purl.org/dc/elements/1.1/"/>
    <ds:schemaRef ds:uri="http://purl.org/dc/terms/"/>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42e773f9-7c65-4058-ad90-4360175cc43c"/>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Fonseca</dc:creator>
  <cp:lastModifiedBy>Joe Fonseca</cp:lastModifiedBy>
  <dcterms:created xsi:type="dcterms:W3CDTF">2026-09-21T20:41:40Z</dcterms:created>
  <dcterms:modified xsi:type="dcterms:W3CDTF">2026-09-22T16:18:30Z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0x010100F7101ED9E223E24B96ED92ED4CE43BFF</vt:lpwstr>
  </property>
</Properties>
</file>