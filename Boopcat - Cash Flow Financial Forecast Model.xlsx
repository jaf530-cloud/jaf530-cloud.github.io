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68bd5dd9f026e1/Documents/"/>
    </mc:Choice>
  </mc:AlternateContent>
  <xr:revisionPtr revIDLastSave="0" documentId="14_{47F8FFAC-A452-493F-B3C2-1D2B6EA0348E}" xr6:coauthVersionLast="47" xr6:coauthVersionMax="47" xr10:uidLastSave="{00000000-0000-0000-0000-000000000000}"/>
  <bookViews>
    <workbookView xWindow="-110" yWindow="-110" windowWidth="22620" windowHeight="13500" xr2:uid="{B500CAEB-1575-45D2-AC52-03960223C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B9" i="1"/>
  <c r="C10" i="1"/>
  <c r="B10" i="1"/>
  <c r="F11" i="1" s="1"/>
  <c r="F12" i="1" s="1"/>
  <c r="D10" i="1"/>
  <c r="E10" i="1"/>
  <c r="F10" i="1"/>
  <c r="G10" i="1"/>
  <c r="C11" i="1" l="1"/>
  <c r="C12" i="1" s="1"/>
  <c r="E11" i="1"/>
  <c r="E12" i="1" s="1"/>
  <c r="B12" i="1"/>
  <c r="G11" i="1"/>
  <c r="G12" i="1" s="1"/>
  <c r="D11" i="1"/>
  <c r="D12" i="1" s="1"/>
</calcChain>
</file>

<file path=xl/sharedStrings.xml><?xml version="1.0" encoding="utf-8"?>
<sst xmlns="http://schemas.openxmlformats.org/spreadsheetml/2006/main" count="12" uniqueCount="12">
  <si>
    <t>Month</t>
  </si>
  <si>
    <t>Revenue</t>
  </si>
  <si>
    <t>Hosting Costs</t>
  </si>
  <si>
    <t>Marketing Costs</t>
  </si>
  <si>
    <t>Software Costs</t>
  </si>
  <si>
    <t>Legal &amp; Accounting</t>
  </si>
  <si>
    <t>Salaries</t>
  </si>
  <si>
    <t>Total Expenses</t>
  </si>
  <si>
    <t>Net Cash Flow</t>
  </si>
  <si>
    <t>Opening Cash</t>
  </si>
  <si>
    <t>Closing Cash</t>
  </si>
  <si>
    <t>Investment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</si>
</sst>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[$£-809]#,##0.00;\([$£-809]#,##0.00\)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33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1" xfId="0" applyNumberFormat="1" applyFill="1" applyBorder="1" applyAlignment="1">
      <alignment vertical="center" wrapText="1"/>
    </xf>
    <xf numFmtId="164" fontId="0" fillId="2" borderId="2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0" fillId="2" borderId="1" xfId="0" applyNumberForma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8683-F138-452A-8CD0-569612E51263}">
  <dimension ref="A1:G12"/>
  <sheetViews>
    <sheetView tabSelected="1" zoomScale="143" workbookViewId="0">
      <selection activeCell="H11" sqref="H11"/>
    </sheetView>
  </sheetViews>
  <sheetFormatPr defaultRowHeight="14.5" x14ac:dyDescent="0.35"/>
  <cols>
    <col min="1" max="1" width="9.6328125" customWidth="1"/>
    <col min="2" max="7" width="11.7265625" bestFit="1" customWidth="1"/>
  </cols>
  <sheetData>
    <row r="1" spans="1:7" x14ac:dyDescent="0.35">
      <c r="A1" s="3" t="s">
        <v>0</v>
      </c>
      <c r="B1" s="4">
        <v>46229</v>
      </c>
      <c r="C1" s="4">
        <v>46260</v>
      </c>
      <c r="D1" s="4">
        <v>46291</v>
      </c>
      <c r="E1" s="4">
        <v>46321</v>
      </c>
      <c r="F1" s="4">
        <v>46352</v>
      </c>
      <c r="G1" s="4">
        <v>46382</v>
      </c>
    </row>
    <row r="2" spans="1:7" x14ac:dyDescent="0.35">
      <c r="A2" s="5" t="s">
        <v>1</v>
      </c>
      <c r="B2" s="2">
        <v>390</v>
      </c>
      <c r="C2" s="2">
        <v>780</v>
      </c>
      <c r="D2" s="2">
        <v>1170</v>
      </c>
      <c r="E2" s="2">
        <v>3070</v>
      </c>
      <c r="F2" s="2">
        <v>4422</v>
      </c>
      <c r="G2" s="2">
        <v>6870</v>
      </c>
    </row>
    <row r="3" spans="1:7" ht="24" x14ac:dyDescent="0.35">
      <c r="A3" s="5" t="s">
        <v>2</v>
      </c>
      <c r="B3" s="1">
        <v>1000</v>
      </c>
      <c r="C3" s="1">
        <v>1000</v>
      </c>
      <c r="D3" s="1">
        <v>1000</v>
      </c>
      <c r="E3" s="1">
        <v>2000</v>
      </c>
      <c r="F3" s="1">
        <v>2000</v>
      </c>
      <c r="G3" s="1">
        <v>2000</v>
      </c>
    </row>
    <row r="4" spans="1:7" ht="24" x14ac:dyDescent="0.35">
      <c r="A4" s="5" t="s">
        <v>11</v>
      </c>
      <c r="B4" s="1">
        <v>250000</v>
      </c>
      <c r="C4" s="1">
        <v>175000</v>
      </c>
      <c r="D4" s="1">
        <v>0</v>
      </c>
      <c r="E4" s="1">
        <v>0</v>
      </c>
      <c r="F4" s="1">
        <v>0</v>
      </c>
      <c r="G4" s="1">
        <v>0</v>
      </c>
    </row>
    <row r="5" spans="1:7" ht="24" x14ac:dyDescent="0.35">
      <c r="A5" s="5" t="s">
        <v>3</v>
      </c>
      <c r="B5" s="1">
        <v>1000</v>
      </c>
      <c r="C5" s="1">
        <v>1000</v>
      </c>
      <c r="D5" s="1">
        <v>1000</v>
      </c>
      <c r="E5" s="1">
        <v>2000</v>
      </c>
      <c r="F5" s="1">
        <v>2000</v>
      </c>
      <c r="G5" s="1">
        <v>2000</v>
      </c>
    </row>
    <row r="6" spans="1:7" ht="24" x14ac:dyDescent="0.35">
      <c r="A6" s="5" t="s">
        <v>4</v>
      </c>
      <c r="B6" s="1">
        <v>500</v>
      </c>
      <c r="C6" s="1">
        <v>500</v>
      </c>
      <c r="D6" s="1">
        <v>500</v>
      </c>
      <c r="E6" s="1">
        <v>1000</v>
      </c>
      <c r="F6" s="1">
        <v>1000</v>
      </c>
      <c r="G6" s="1">
        <v>1000</v>
      </c>
    </row>
    <row r="7" spans="1:7" ht="24" x14ac:dyDescent="0.35">
      <c r="A7" s="5" t="s">
        <v>5</v>
      </c>
      <c r="B7" s="1">
        <v>1200</v>
      </c>
      <c r="C7" s="1">
        <v>1200</v>
      </c>
      <c r="D7" s="1">
        <v>1200</v>
      </c>
      <c r="E7" s="1">
        <v>1200</v>
      </c>
      <c r="F7" s="1">
        <v>1200</v>
      </c>
      <c r="G7" s="1">
        <v>1200</v>
      </c>
    </row>
    <row r="8" spans="1:7" x14ac:dyDescent="0.35">
      <c r="A8" s="5" t="s">
        <v>6</v>
      </c>
      <c r="B8" s="1">
        <v>16730</v>
      </c>
      <c r="C8" s="1">
        <v>16730</v>
      </c>
      <c r="D8" s="1">
        <v>16730</v>
      </c>
      <c r="E8" s="1">
        <v>26564</v>
      </c>
      <c r="F8" s="1">
        <v>26564</v>
      </c>
      <c r="G8" s="1">
        <v>26564</v>
      </c>
    </row>
    <row r="9" spans="1:7" ht="24" x14ac:dyDescent="0.35">
      <c r="A9" s="5" t="s">
        <v>7</v>
      </c>
      <c r="B9" s="1">
        <f>SUM(B3,B5,B6,B7,B8)</f>
        <v>20430</v>
      </c>
      <c r="C9" s="1">
        <f t="shared" ref="C9:G9" si="0">SUM(C3,C5,C6,C7,C8)</f>
        <v>20430</v>
      </c>
      <c r="D9" s="1">
        <f t="shared" si="0"/>
        <v>20430</v>
      </c>
      <c r="E9" s="1">
        <f t="shared" si="0"/>
        <v>32764</v>
      </c>
      <c r="F9" s="1">
        <f t="shared" si="0"/>
        <v>32764</v>
      </c>
      <c r="G9" s="1">
        <f t="shared" si="0"/>
        <v>32764</v>
      </c>
    </row>
    <row r="10" spans="1:7" s="8" customFormat="1" ht="24" x14ac:dyDescent="0.35">
      <c r="A10" s="6" t="s">
        <v>8</v>
      </c>
      <c r="B10" s="7">
        <f>B2+B4-B3-B5-B6-B7-B8</f>
        <v>229960</v>
      </c>
      <c r="C10" s="7">
        <f>C2+C4-C3-C5-C6-C7-C8</f>
        <v>155350</v>
      </c>
      <c r="D10" s="7">
        <f t="shared" ref="D10:G10" si="1">D2+D4-D3-D5-D6-D7-D8</f>
        <v>-19260</v>
      </c>
      <c r="E10" s="7">
        <f t="shared" si="1"/>
        <v>-29694</v>
      </c>
      <c r="F10" s="7">
        <f t="shared" si="1"/>
        <v>-28342</v>
      </c>
      <c r="G10" s="7">
        <f t="shared" si="1"/>
        <v>-25894</v>
      </c>
    </row>
    <row r="11" spans="1:7" ht="24" x14ac:dyDescent="0.35">
      <c r="A11" s="5" t="s">
        <v>9</v>
      </c>
      <c r="B11" s="1">
        <v>0</v>
      </c>
      <c r="C11" s="1">
        <f>SUM(B10)</f>
        <v>229960</v>
      </c>
      <c r="D11" s="1">
        <f>SUM(B10:C10)</f>
        <v>385310</v>
      </c>
      <c r="E11" s="1">
        <f>SUM(B10:D10)</f>
        <v>366050</v>
      </c>
      <c r="F11" s="1">
        <f>SUM(B10:E10)</f>
        <v>336356</v>
      </c>
      <c r="G11" s="1">
        <f>SUM(B10:F10)</f>
        <v>308014</v>
      </c>
    </row>
    <row r="12" spans="1:7" x14ac:dyDescent="0.35">
      <c r="A12" s="5" t="s">
        <v>10</v>
      </c>
      <c r="B12" s="1">
        <f>B11+B10</f>
        <v>229960</v>
      </c>
      <c r="C12" s="1">
        <f>C11+C10</f>
        <v>385310</v>
      </c>
      <c r="D12" s="1">
        <f t="shared" ref="D12:F12" si="2">D11+D10</f>
        <v>366050</v>
      </c>
      <c r="E12" s="1">
        <f t="shared" si="2"/>
        <v>336356</v>
      </c>
      <c r="F12" s="1">
        <f t="shared" si="2"/>
        <v>308014</v>
      </c>
      <c r="G12" s="1">
        <f>G11+G10</f>
        <v>282120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Fonseca</dc:creator>
  <cp:lastModifiedBy>Joe Fonseca</cp:lastModifiedBy>
  <dcterms:created xsi:type="dcterms:W3CDTF">2026-06-17T12:02:36Z</dcterms:created>
  <dcterms:modified xsi:type="dcterms:W3CDTF">2026-06-19T11:58:52Z</dcterms:modified>
</cp:coreProperties>
</file>